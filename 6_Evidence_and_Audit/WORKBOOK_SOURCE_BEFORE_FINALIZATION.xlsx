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START" sheetId="1" state="visible" r:id="rId1"/>
    <sheet xmlns:r="http://schemas.openxmlformats.org/officeDocument/2006/relationships" name="01_INSIGHT" sheetId="2" state="visible" r:id="rId2"/>
    <sheet xmlns:r="http://schemas.openxmlformats.org/officeDocument/2006/relationships" name="02_ASSETS" sheetId="3" state="visible" r:id="rId3"/>
    <sheet xmlns:r="http://schemas.openxmlformats.org/officeDocument/2006/relationships" name="03_ENGINE_LAUNCH" sheetId="4" state="visible" r:id="rId4"/>
    <sheet xmlns:r="http://schemas.openxmlformats.org/officeDocument/2006/relationships" name="04_SELF_CHECK"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color rgb="FF1F2933"/>
      <sz val="10"/>
    </font>
    <font>
      <name val="Arial"/>
      <charset val="1"/>
      <family val="0"/>
      <b val="1"/>
      <color rgb="FF1F2933"/>
      <sz val="11"/>
    </font>
    <font>
      <name val="Arial"/>
      <charset val="1"/>
      <family val="0"/>
      <b val="1"/>
      <color rgb="FF1F2933"/>
      <sz val="10"/>
    </font>
    <font>
      <name val="Arial"/>
      <charset val="1"/>
      <family val="0"/>
      <color rgb="FF1F2933"/>
      <sz val="10"/>
    </font>
  </fonts>
  <fills count="7">
    <fill>
      <patternFill/>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6">
    <border>
      <left/>
      <right/>
      <top/>
      <bottom/>
      <diagonal/>
    </border>
    <border>
      <left style="thin">
        <color rgb="FFBFC9D1"/>
      </left>
      <right style="thin">
        <color rgb="FFBFC9D1"/>
      </right>
      <top style="thin">
        <color rgb="FFBFC9D1"/>
      </top>
      <bottom style="thin">
        <color rgb="FFBFC9D1"/>
      </bottom>
      <diagonal/>
    </border>
    <border>
      <left/>
      <right/>
      <top style="thin">
        <color rgb="FFBFC9D1"/>
      </top>
      <bottom/>
      <diagonal/>
    </border>
    <border>
      <left/>
      <right style="thin">
        <color rgb="FFBFC9D1"/>
      </right>
      <top style="thin">
        <color rgb="FFBFC9D1"/>
      </top>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7" fillId="4" borderId="1" applyAlignment="1" pivotButton="0" quotePrefix="0" xfId="0">
      <alignment horizontal="general" vertical="top" wrapText="1"/>
    </xf>
    <xf numFmtId="0" fontId="7" fillId="3" borderId="1" applyAlignment="1" pivotButton="0" quotePrefix="0" xfId="0">
      <alignment horizontal="general" vertical="top" wrapText="1"/>
    </xf>
    <xf numFmtId="0" fontId="8" fillId="5" borderId="1" applyAlignment="1" pivotButton="0" quotePrefix="0" xfId="0">
      <alignment horizontal="general" vertical="top" wrapText="1"/>
    </xf>
    <xf numFmtId="0" fontId="8" fillId="0" borderId="1" applyAlignment="1" pivotButton="0" quotePrefix="0" xfId="0">
      <alignment horizontal="general" vertical="top" wrapText="1"/>
    </xf>
    <xf numFmtId="0" fontId="8" fillId="5" borderId="1" applyAlignment="1" pivotButton="0" quotePrefix="0" xfId="0">
      <alignment vertical="top" wrapText="1"/>
    </xf>
    <xf numFmtId="0" fontId="8" fillId="3" borderId="1" applyAlignment="1" pivotButton="0" quotePrefix="0" xfId="0">
      <alignment horizontal="general" vertical="top" wrapText="1"/>
    </xf>
    <xf numFmtId="0" fontId="7" fillId="6" borderId="1" applyAlignment="1" pivotButton="0" quotePrefix="0" xfId="0">
      <alignment horizontal="general" vertical="top" wrapText="1"/>
    </xf>
    <xf numFmtId="0" fontId="8" fillId="5" borderId="1" applyAlignment="1" pivotButton="0" quotePrefix="0" xfId="0">
      <alignment horizontal="general" vertical="top"/>
    </xf>
    <xf numFmtId="0" fontId="8" fillId="6" borderId="1" applyAlignment="1" pivotButton="0" quotePrefix="0" xfId="0">
      <alignment horizontal="general" vertical="top"/>
    </xf>
    <xf numFmtId="0" fontId="8" fillId="6" borderId="1" applyAlignment="1" pivotButton="0" quotePrefix="0" xfId="0">
      <alignment horizontal="general" vertical="top" wrapText="1"/>
    </xf>
    <xf numFmtId="0" fontId="8" fillId="4"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F8D7DA"/>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4" min="1" max="1"/>
    <col width="70" customWidth="1" style="14" min="2" max="2"/>
    <col width="4" customWidth="1" style="14" min="3" max="3"/>
    <col width="6" customWidth="1" style="14" min="4" max="4"/>
    <col width="44" customWidth="1" style="14" min="5" max="5"/>
    <col width="10" customWidth="1" style="14" min="6" max="6"/>
  </cols>
  <sheetData>
    <row r="1" ht="24" customHeight="1" s="15">
      <c r="A1" s="16" t="inlineStr">
        <is>
          <t>IncuBrix Growth Engineer | Option 2: Social Media Marketing and Content Engine | Submission Workbook</t>
        </is>
      </c>
      <c r="B1" s="17" t="n"/>
      <c r="C1" s="17" t="n"/>
      <c r="D1" s="17" t="n"/>
      <c r="E1" s="17" t="n"/>
      <c r="F1" s="18" t="n"/>
    </row>
    <row r="2" ht="31.5" customHeight="1" s="15">
      <c r="A2" s="19" t="inlineStr">
        <is>
          <t>Complete tabs 00-04. YELLOW = your input. GREEN = calculated. GREY = guidance. Every claim needs a link to evidence.</t>
        </is>
      </c>
      <c r="B2" s="17" t="n"/>
      <c r="C2" s="17" t="n"/>
      <c r="D2" s="17" t="n"/>
      <c r="E2" s="17" t="n"/>
      <c r="F2" s="18" t="n"/>
    </row>
    <row r="4" ht="15" customHeight="1" s="15">
      <c r="A4" s="20" t="inlineStr">
        <is>
          <t>Candidate details and links</t>
        </is>
      </c>
      <c r="B4" s="18" t="n"/>
      <c r="D4" s="21" t="inlineStr">
        <is>
          <t>Submission checklist</t>
        </is>
      </c>
      <c r="E4" s="17" t="n"/>
      <c r="F4" s="18" t="n"/>
    </row>
    <row r="5" ht="15" customHeight="1" s="15">
      <c r="A5" s="22" t="inlineStr">
        <is>
          <t>Candidate ID (from email)</t>
        </is>
      </c>
      <c r="B5" s="23" t="n"/>
      <c r="D5" s="24" t="n">
        <v>1</v>
      </c>
      <c r="E5" s="24" t="inlineStr">
        <is>
          <t>Completed workbook</t>
        </is>
      </c>
      <c r="F5" s="23" t="n"/>
    </row>
    <row r="6" ht="15" customHeight="1" s="15">
      <c r="A6" s="22" t="inlineStr">
        <is>
          <t>Full name</t>
        </is>
      </c>
      <c r="B6" s="23" t="n"/>
      <c r="D6" s="24" t="n">
        <v>2</v>
      </c>
      <c r="E6" s="24" t="inlineStr">
        <is>
          <t>Main output files</t>
        </is>
      </c>
      <c r="F6" s="23" t="n"/>
    </row>
    <row r="7" ht="15" customHeight="1" s="15">
      <c r="A7" s="22" t="inlineStr">
        <is>
          <t>Registered email</t>
        </is>
      </c>
      <c r="B7" s="23" t="n"/>
      <c r="D7" s="24" t="n">
        <v>3</v>
      </c>
      <c r="E7" s="24" t="inlineStr">
        <is>
          <t>Engine repository + README</t>
        </is>
      </c>
      <c r="F7" s="23" t="n"/>
    </row>
    <row r="8" ht="15" customHeight="1" s="15">
      <c r="A8" s="22" t="inlineStr">
        <is>
          <t>College and degree</t>
        </is>
      </c>
      <c r="B8" s="23" t="n"/>
      <c r="D8" s="24" t="n">
        <v>4</v>
      </c>
      <c r="E8" s="24" t="inlineStr">
        <is>
          <t>Launch kit</t>
        </is>
      </c>
      <c r="F8" s="23" t="n"/>
    </row>
    <row r="9" ht="15" customHeight="1" s="15">
      <c r="A9" s="22" t="inlineStr">
        <is>
          <t>Assessment start (date/time)</t>
        </is>
      </c>
      <c r="B9" s="23" t="n"/>
      <c r="D9" s="24" t="n">
        <v>5</v>
      </c>
      <c r="E9" s="24" t="inlineStr">
        <is>
          <t>Both video links</t>
        </is>
      </c>
      <c r="F9" s="23" t="n"/>
    </row>
    <row r="10" ht="15" customHeight="1" s="15">
      <c r="A10" s="22" t="inlineStr">
        <is>
          <t>Submission time (date/time)</t>
        </is>
      </c>
      <c r="B10" s="23" t="n"/>
      <c r="D10" s="24" t="n">
        <v>6</v>
      </c>
      <c r="E10" s="24" t="inlineStr">
        <is>
          <t>Declaration accepted (row below)</t>
        </is>
      </c>
      <c r="F10" s="23" t="n"/>
    </row>
    <row r="11" ht="15" customHeight="1" s="15">
      <c r="A11" s="22" t="inlineStr">
        <is>
          <t>Main output folder URL</t>
        </is>
      </c>
      <c r="B11" s="23" t="n"/>
    </row>
    <row r="12" ht="15" customHeight="1" s="15">
      <c r="A12" s="22" t="inlineStr">
        <is>
          <t>Repository or workflow URL</t>
        </is>
      </c>
      <c r="B12" s="23" t="n"/>
    </row>
    <row r="13" ht="15" customHeight="1" s="15">
      <c r="A13" s="22" t="inlineStr">
        <is>
          <t>Launch kit URL</t>
        </is>
      </c>
      <c r="B13" s="23" t="n"/>
    </row>
    <row r="14" ht="23.85" customHeight="1" s="15">
      <c r="A14" s="22" t="inlineStr">
        <is>
          <t>Product walkthrough video URL (max 5 min)</t>
        </is>
      </c>
      <c r="B14" s="23" t="n"/>
    </row>
    <row r="15" ht="23.85" customHeight="1" s="15">
      <c r="A15" s="22" t="inlineStr">
        <is>
          <t>Technical demo video URL (max 8 min)</t>
        </is>
      </c>
      <c r="B15" s="23" t="n"/>
    </row>
    <row r="16" ht="110" customHeight="1" s="15">
      <c r="A16" s="22" t="inlineStr">
        <is>
          <t>AI tools, data sources and services used</t>
        </is>
      </c>
      <c r="B16" s="25" t="inlineStr">
        <is>
          <t>AI: original submission disclosed Claude Sonnet 5.5 for drafting/code. Upgrade added deterministic Python QA, optional OpenAI-compatible hook transformation (disabled by default), and public LinkedIn research observed 30 Oct 2026. Open-source tools: Python, Pillow, FFmpeg, Inter (SIL OFL). No API credentials are stored.</t>
        </is>
      </c>
    </row>
    <row r="17" ht="40" customHeight="1" s="15">
      <c r="A17" s="22" t="inlineStr">
        <is>
          <t>Total money spent (if any) and on what</t>
        </is>
      </c>
      <c r="B17" s="25" t="inlineStr">
        <is>
          <t>USD 0 direct tool spend in the build (all tools open source or free). [CANDIDATE: add the cost of any AI subscription you personally paid for, if any.]</t>
        </is>
      </c>
    </row>
    <row r="18" ht="95" customHeight="1" s="15">
      <c r="A18" s="22" t="inlineStr">
        <is>
          <t>Manual work disclosed (what and how much)</t>
        </is>
      </c>
      <c r="B18" s="25" t="inlineStr">
        <is>
          <t>NOT YET DONE by the candidate: signed-in product use and claim verification, genuine real-audience test or publication evidence, two unedited recordings, candidate links/details/declaration, official-logo authorization, and final editorial review. Public LinkedIn audit of IncuBrix + 5 peers was completed on 30 Oct 2026 with snapshots; hidden metrics remain unavailable.</t>
        </is>
      </c>
    </row>
    <row r="20" ht="42" customHeight="1" s="15">
      <c r="A20" s="22" t="inlineStr">
        <is>
          <t>Declaration</t>
        </is>
      </c>
      <c r="B20" s="26" t="inlineStr">
        <is>
          <t>I confirm this is my own work and that my sources, data, contacts, AI use, spending and manual work are accurately disclosed. I can explain and rerun everything.</t>
        </is>
      </c>
    </row>
    <row r="21" ht="15" customHeight="1" s="15">
      <c r="A21" s="22" t="inlineStr">
        <is>
          <t>I accept the declaration</t>
        </is>
      </c>
      <c r="B21" s="23" t="n"/>
    </row>
    <row r="23" ht="15" customHeight="1" s="15">
      <c r="A23" s="20" t="inlineStr">
        <is>
          <t>Your self-check summary (calculated from tab 04)</t>
        </is>
      </c>
      <c r="B23" s="18" t="n"/>
    </row>
    <row r="24" ht="15" customHeight="1" s="15">
      <c r="A24" s="22" t="inlineStr">
        <is>
          <t>Minimums met</t>
        </is>
      </c>
      <c r="B24" s="27">
        <f>COUNTIF(04_SELF_CHECK!F6:F12,"MET")&amp;" of 7"</f>
        <v/>
      </c>
    </row>
    <row r="25" ht="15" customHeight="1" s="15">
      <c r="A25" s="22" t="inlineStr">
        <is>
          <t>Self-score (out of 100)</t>
        </is>
      </c>
      <c r="B25" s="27">
        <f>04_SELF_CHECK!C29</f>
        <v/>
      </c>
    </row>
    <row r="26" ht="15" customHeight="1" s="15">
      <c r="A26" s="22" t="inlineStr">
        <is>
          <t>Declaration accepted</t>
        </is>
      </c>
      <c r="B26" s="27">
        <f>IF(B21="Yes","Yes","NOT YET")</f>
        <v/>
      </c>
    </row>
    <row r="27" ht="15" customHeight="1" s="15">
      <c r="A27" s="22" t="inlineStr">
        <is>
          <t>Ready to submit?</t>
        </is>
      </c>
      <c r="B27" s="27">
        <f>IF(AND(COUNTIF(04_SELF_CHECK!F6:F12,"MET")=7,B21="Yes",COUNTIF(F5:F10,"Yes")=6),"YES","NOT YET - check tabs 00 and 04")</f>
        <v/>
      </c>
    </row>
  </sheetData>
  <mergeCells count="5">
    <mergeCell ref="A4:B4"/>
    <mergeCell ref="A2:F2"/>
    <mergeCell ref="A1:F1"/>
    <mergeCell ref="D4:F4"/>
    <mergeCell ref="A23:B23"/>
  </mergeCells>
  <dataValidations count="2">
    <dataValidation sqref="F5:F10" showDropDown="0" showInputMessage="0" showErrorMessage="0" allowBlank="1" type="list" errorStyle="stop" operator="between">
      <formula1>"Yes,No"</formula1>
      <formula2>0</formula2>
    </dataValidation>
    <dataValidation sqref="B21"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4" min="1" max="1"/>
    <col width="24" customWidth="1" style="14" min="2" max="2"/>
    <col width="36" customWidth="1" style="14" min="3" max="4"/>
    <col width="30" customWidth="1" style="14" min="5" max="6"/>
  </cols>
  <sheetData>
    <row r="1" ht="24" customHeight="1" s="15">
      <c r="A1" s="16" t="inlineStr">
        <is>
          <t>Product and Market Insight</t>
        </is>
      </c>
      <c r="B1" s="17" t="n"/>
      <c r="C1" s="17" t="n"/>
      <c r="D1" s="17" t="n"/>
      <c r="E1" s="17" t="n"/>
      <c r="F1" s="18" t="n"/>
    </row>
    <row r="2" ht="31.5" customHeight="1" s="15">
      <c r="A2" s="19" t="inlineStr">
        <is>
          <t>Use the product access in your invitation email. Facts need evidence; ideas must be clearly labelled as ideas.</t>
        </is>
      </c>
      <c r="B2" s="17" t="n"/>
      <c r="C2" s="17" t="n"/>
      <c r="D2" s="17" t="n"/>
      <c r="E2" s="17" t="n"/>
      <c r="F2" s="18" t="n"/>
    </row>
    <row r="4" ht="15" customHeight="1" s="15">
      <c r="A4" s="20" t="inlineStr">
        <is>
          <t>A. Five product observations</t>
        </is>
      </c>
      <c r="B4" s="17" t="n"/>
      <c r="C4" s="17" t="n"/>
      <c r="D4" s="17" t="n"/>
      <c r="E4" s="17" t="n"/>
      <c r="F4" s="18" t="n"/>
    </row>
    <row r="5" ht="30" customHeight="1" s="15">
      <c r="A5" s="21" t="inlineStr">
        <is>
          <t>#</t>
        </is>
      </c>
      <c r="B5" s="21" t="inlineStr">
        <is>
          <t>Product area</t>
        </is>
      </c>
      <c r="C5" s="21" t="inlineStr">
        <is>
          <t>What happened</t>
        </is>
      </c>
      <c r="D5" s="21" t="inlineStr">
        <is>
          <t>What worked or was difficult</t>
        </is>
      </c>
      <c r="E5" s="21" t="inlineStr">
        <is>
          <t>Evidence URL / file</t>
        </is>
      </c>
      <c r="F5" s="21" t="inlineStr">
        <is>
          <t>Why it matters for growth</t>
        </is>
      </c>
    </row>
    <row r="6" ht="114" customHeight="1" s="15">
      <c r="A6" s="24" t="n">
        <v>1</v>
      </c>
      <c r="B6" s="25" t="inlineStr">
        <is>
          <t>Homepage promise (public site; not in-app use)</t>
        </is>
      </c>
      <c r="C6" s="25" t="inlineStr">
        <is>
          <t>On 26 Oct 2026 I read the public homepage while signed out. Hero: 'IncuBrix turns one content into clips, captions, voiceovers, and posts for every platform, then publishes and tracks it all from one screen. You make the content. IncuBrix makes it travel.'</t>
        </is>
      </c>
      <c r="D6" s="25" t="inlineStr">
        <is>
          <t>Worked: a clear one-line job-to-be-done and a memorable second line. Difficult: 'one content' is a small grammar slip in the hero and the meta description. LIMIT: this is website reading, not product use; I could not sign in.</t>
        </is>
      </c>
      <c r="E6" s="25" t="inlineStr">
        <is>
          <t>https://incubrix.com/ (hero section and page meta description)</t>
        </is>
      </c>
      <c r="F6" s="25" t="inlineStr">
        <is>
          <t>Every bio, caption and ad will be judged against this line. A clean, repeatable one-liner keeps social copy consistent. IDEA (not fact): use 'one piece of content' in bios and captions.</t>
        </is>
      </c>
    </row>
    <row r="7" ht="114" customHeight="1" s="15">
      <c r="A7" s="24" t="n">
        <v>2</v>
      </c>
      <c r="B7" s="25" t="inlineStr">
        <is>
          <t>Content Performance (public site; not in-app use)</t>
        </is>
      </c>
      <c r="C7" s="25" t="inlineStr">
        <is>
          <t>The homepage lists four Creator Studio areas. Insights, Creation and Publishing are described as 'Live in Creator Studio'; Content Performance is labelled 'Coming soon' in its section while the nav says 'Rolling out now'. The demo counters show 0 Total views, 0 Engagement, 0 Growth.</t>
        </is>
      </c>
      <c r="D7" s="25" t="inlineStr">
        <is>
          <t>Worked: honest 'coming soon' label. Difficult: the nav and the section label differ, so it is unclear what is live. I could not check inside the app.</t>
        </is>
      </c>
      <c r="E7" s="25" t="inlineStr">
        <is>
          <t>https://incubrix.com/ (Content Performance section and Creator Studio menu)</t>
        </is>
      </c>
      <c r="F7" s="25" t="inlineStr">
        <is>
          <t>Social posts must not promise analytics yet. Until it ships, the plan measures with UTM links plus each platform's native analytics.</t>
        </is>
      </c>
    </row>
    <row r="8" ht="114" customHeight="1" s="15">
      <c r="A8" s="24" t="n">
        <v>3</v>
      </c>
      <c r="B8" s="25" t="inlineStr">
        <is>
          <t>Content Publishing platforms (public site; not in-app use)</t>
        </is>
      </c>
      <c r="C8" s="25" t="inlineStr">
        <is>
          <t>The Publishing section says you can schedule and post to YouTube, Instagram, LinkedIn, Spotify and Bluesky from one screen. TikTok, X, Threads and Facebook are not listed.</t>
        </is>
      </c>
      <c r="D8" s="25" t="inlineStr">
        <is>
          <t>Worked: three of the five (YouTube, Instagram, LinkedIn) are the best-fit platforms for creators and thought leaders. Difficult: X and Threads (useful for creator conversation) cannot be dogfooded with the product's own publishing.</t>
        </is>
      </c>
      <c r="E8" s="25" t="inlineStr">
        <is>
          <t>https://incubrix.com/ (Content Publishing section)</t>
        </is>
      </c>
      <c r="F8" s="25" t="inlineStr">
        <is>
          <t>IncuBrix can prove its own product by posting through it on LinkedIn, Instagram and YouTube Shorts; X and Threads stay low-priority experiments.</t>
        </is>
      </c>
    </row>
    <row r="9" ht="114" customHeight="1" s="15">
      <c r="A9" s="24" t="n">
        <v>4</v>
      </c>
      <c r="B9" s="25" t="inlineStr">
        <is>
          <t>Audience segments (public site; not in-app use)</t>
        </is>
      </c>
      <c r="C9" s="25" t="inlineStr">
        <is>
          <t>The Community section names six segments, each with a one-line promise: Podcasters ('One episode becomes clips, quotes, and posts before lunch'), YouTubers ('Your back catalog is a Shorts library waiting to happen'), Thought Leaders, Content Creators, Coaches, Founders.</t>
        </is>
      </c>
      <c r="D9" s="25" t="inlineStr">
        <is>
          <t>Worked: ready-made, concrete hooks per segment. Difficult: six segments is broad for a first-month social plan; no sign of which one converts best.</t>
        </is>
      </c>
      <c r="E9" s="25" t="inlineStr">
        <is>
          <t>https://incubrix.com/ (The Community section)</t>
        </is>
      </c>
      <c r="F9" s="25" t="inlineStr">
        <is>
          <t>These lines can be tested as hooks per segment; the first month should find the one or two segments that click most per post.</t>
        </is>
      </c>
    </row>
    <row r="10" ht="100.5" customHeight="1" s="15">
      <c r="A10" s="24" t="n">
        <v>5</v>
      </c>
      <c r="B10" s="25" t="inlineStr">
        <is>
          <t>Existing social presence (public LinkedIn audit)</t>
        </is>
      </c>
      <c r="C10" s="25" t="inlineStr">
        <is>
          <t>On 30 Oct 2026 the public LinkedIn page showed 1,236 followers. Nine exposed posts had public LikeAction counts averaging 12.7 (1.03% follower-based proxy; not a full engagement rate). Five recent exposed posts ran from 19-29 Oct after a longer visible gap. Instagram was rate-limited, so its metrics remain unavailable.</t>
        </is>
      </c>
      <c r="D10" s="25" t="inlineStr">
        <is>
          <t>Worked: posting cadence resumed and creator pain/product-category copy is consistent. Difficult: public interactions are modest and comments, shares, saves, impressions and Instagram metrics were unavailable; no full engagement rate is claimed.</t>
        </is>
      </c>
      <c r="E10" s="25" t="inlineStr">
        <is>
          <t>4_Launch_Kit/account_audit_COMPLETED.csv; 7_Evidence_and_Audit/social_research_snapshots/incubrix_linkedin_2026-10-30.html; https://www.linkedin.com/company/incubrix</t>
        </is>
      </c>
      <c r="F10" s="25" t="inlineStr">
        <is>
          <t>Use repeatable proof-led demo series, shorter hooks, and native creator examples; benchmark learning against the five peers without treating follower counts as performance proof.</t>
        </is>
      </c>
    </row>
    <row r="12" ht="15" customHeight="1" s="15">
      <c r="A12" s="20" t="inlineStr">
        <is>
          <t>B. Three biggest opportunities for Social media and content</t>
        </is>
      </c>
      <c r="B12" s="17" t="n"/>
      <c r="C12" s="17" t="n"/>
      <c r="D12" s="17" t="n"/>
      <c r="E12" s="17" t="n"/>
      <c r="F12" s="18" t="n"/>
    </row>
    <row r="13" ht="30" customHeight="1" s="15">
      <c r="A13" s="21" t="inlineStr">
        <is>
          <t>Rank</t>
        </is>
      </c>
      <c r="B13" s="21" t="inlineStr">
        <is>
          <t>Opportunity</t>
        </is>
      </c>
      <c r="C13" s="21" t="inlineStr">
        <is>
          <t>Evidence</t>
        </is>
      </c>
      <c r="D13" s="21" t="inlineStr">
        <is>
          <t>Expected impact</t>
        </is>
      </c>
      <c r="E13" s="21" t="inlineStr">
        <is>
          <t>How to measure</t>
        </is>
      </c>
      <c r="F13" s="21" t="inlineStr">
        <is>
          <t>30-day target</t>
        </is>
      </c>
    </row>
    <row r="14" ht="100.5" customHeight="1" s="15">
      <c r="A14" s="24" t="n">
        <v>1</v>
      </c>
      <c r="B14" s="25" t="inlineStr">
        <is>
          <t>Dogfood the core promise in public: a weekly 'one recording becomes a week of posts' series, 20 posts a week from one engine run</t>
        </is>
      </c>
      <c r="C14" s="25" t="inlineStr">
        <is>
          <t>Observations 1 and 3: the product's promise is repurposing; it can publish to LinkedIn, Instagram and YouTube. Engine proof: 20 assets from one 716-word input in 1.9 min (3_Engine/evidence/run1_summary.json).</t>
        </is>
      </c>
      <c r="D14" s="25" t="inlineStr">
        <is>
          <t>HYPOTHESIS: steady, useful posting shows the product's job being done and gives IncuBrix a visible cadence. No baseline was available.</t>
        </is>
      </c>
      <c r="E14" s="25" t="inlineStr">
        <is>
          <t>Per asset_id UTM clicks and sign-ups (utm_content); engagement rate and reach from platform analytics; reviewed every Friday.</t>
        </is>
      </c>
      <c r="F14" s="25" t="inlineStr">
        <is>
          <t>80 posts published; 40,000 reach; &gt;=3% median engagement; 200 clicks; &gt;=20 sign-ups. Planning assumptions, reset after week 1.</t>
        </is>
      </c>
    </row>
    <row r="15" ht="73.5" customHeight="1" s="15">
      <c r="A15" s="24" t="n">
        <v>2</v>
      </c>
      <c r="B15" s="25" t="inlineStr">
        <is>
          <t>Open a YouTube Shorts channel and lead with LinkedIn + Instagram, the three platforms the product itself publishes to</t>
        </is>
      </c>
      <c r="C15" s="25" t="inlineStr">
        <is>
          <t>Observations 3 and 5: YouTube, Instagram and LinkedIn are listed publishing targets; only LinkedIn, Instagram and Facebook are linked from the site.</t>
        </is>
      </c>
      <c r="D15" s="25" t="inlineStr">
        <is>
          <t>HYPOTHESIS: reaches podcasters and YouTubers where their back catalogue lives and closes a visible gap.</t>
        </is>
      </c>
      <c r="E15" s="25" t="inlineStr">
        <is>
          <t>Views, subscribers, clicks per post by platform (utm_source), compared weekly.</t>
        </is>
      </c>
      <c r="F15" s="25" t="inlineStr">
        <is>
          <t>12 Shorts published (3 a week); a clicks-per-post comparison across LinkedIn, Instagram and Shorts by day 30; keep the best 2 platforms.</t>
        </is>
      </c>
    </row>
    <row r="16" ht="73.5" customHeight="1" s="15">
      <c r="A16" s="24" t="n">
        <v>3</v>
      </c>
      <c r="B16" s="25" t="inlineStr">
        <is>
          <t>Test segment-specific hooks (podcasters, YouTubers, coaches, founders) to find the first segment worth focusing on</t>
        </is>
      </c>
      <c r="C16" s="25" t="inlineStr">
        <is>
          <t>Observation 4: the homepage already gives one concrete promise per segment.</t>
        </is>
      </c>
      <c r="D16" s="25" t="inlineStr">
        <is>
          <t>HYPOTHESIS: one or two segments will respond more per post; focusing on them improves click and sign-up rates.</t>
        </is>
      </c>
      <c r="E16" s="25" t="inlineStr">
        <is>
          <t>Tag each test post with its segment in utm_term; compare engagement rate and clicks per post by segment.</t>
        </is>
      </c>
      <c r="F16" s="25" t="inlineStr">
        <is>
          <t>4 segments x 3 posts each in weeks 2-3; pick the top 1-2 segments by clicks per post by day 30.</t>
        </is>
      </c>
    </row>
  </sheetData>
  <mergeCells count="4">
    <mergeCell ref="A2:F2"/>
    <mergeCell ref="A1:F1"/>
    <mergeCell ref="A12:F12"/>
    <mergeCell ref="A4:F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W154"/>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12" customWidth="1" style="14" min="1" max="1"/>
    <col width="14" customWidth="1" style="14" min="2" max="3"/>
    <col width="18" customWidth="1" style="14" min="4" max="4"/>
    <col width="34" customWidth="1" style="14" min="5" max="5"/>
    <col width="40" customWidth="1" style="14" min="6" max="6"/>
    <col width="20" customWidth="1" style="14" min="7" max="7"/>
    <col width="30" customWidth="1" style="14" min="8" max="10"/>
    <col width="22" customWidth="1" style="14" min="11" max="12"/>
    <col width="11" customWidth="1" style="14" min="13" max="14"/>
    <col width="13" customWidth="1" style="14" min="15" max="15"/>
    <col width="30" customWidth="1" style="14" min="16" max="16"/>
    <col width="13" customWidth="1" style="14" min="17" max="17"/>
    <col width="12" customWidth="1" style="14" min="18" max="18"/>
    <col width="10" customWidth="1" style="14" min="19" max="19"/>
    <col width="11" customWidth="1" style="14" min="20" max="20"/>
    <col width="24" customWidth="1" style="14" min="21" max="21"/>
    <col width="12" customWidth="1" style="14" min="22" max="22"/>
    <col width="14" customWidth="1" style="14" min="23" max="23"/>
  </cols>
  <sheetData>
    <row r="1" ht="24" customHeight="1" s="15">
      <c r="A1" s="16" t="inlineStr">
        <is>
          <t>Content Assets</t>
        </is>
      </c>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8" t="n"/>
    </row>
    <row r="2" ht="31.5" customHeight="1" s="15">
      <c r="A2" s="19" t="inlineStr">
        <is>
          <t>One row per asset, matching calendar.csv. Link to the final file and the editable source for each.</t>
        </is>
      </c>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8" t="n"/>
    </row>
    <row r="4" ht="30" customHeight="1" s="15">
      <c r="A4" s="21" t="inlineStr">
        <is>
          <t>asset_id</t>
        </is>
      </c>
      <c r="B4" s="21" t="inlineStr">
        <is>
          <t>platform</t>
        </is>
      </c>
      <c r="C4" s="21" t="inlineStr">
        <is>
          <t>format</t>
        </is>
      </c>
      <c r="D4" s="21" t="inlineStr">
        <is>
          <t>content_pillar</t>
        </is>
      </c>
      <c r="E4" s="21" t="inlineStr">
        <is>
          <t>hook</t>
        </is>
      </c>
      <c r="F4" s="21" t="inlineStr">
        <is>
          <t>caption</t>
        </is>
      </c>
      <c r="G4" s="21" t="inlineStr">
        <is>
          <t>cta</t>
        </is>
      </c>
      <c r="H4" s="21" t="inlineStr">
        <is>
          <t>utm_link</t>
        </is>
      </c>
      <c r="I4" s="21" t="inlineStr">
        <is>
          <t>final_file_url</t>
        </is>
      </c>
      <c r="J4" s="21" t="inlineStr">
        <is>
          <t>source_file_url</t>
        </is>
      </c>
      <c r="K4" s="21" t="inlineStr">
        <is>
          <t>source_input</t>
        </is>
      </c>
      <c r="L4" s="21" t="inlineStr">
        <is>
          <t>tools_used</t>
        </is>
      </c>
      <c r="M4" s="21" t="inlineStr">
        <is>
          <t>rights_checked</t>
        </is>
      </c>
      <c r="N4" s="21" t="inlineStr">
        <is>
          <t>ai_label_needed</t>
        </is>
      </c>
      <c r="O4" s="21" t="inlineStr">
        <is>
          <t>scheduled_date</t>
        </is>
      </c>
      <c r="P4" s="21" t="inlineStr">
        <is>
          <t>test_published_url</t>
        </is>
      </c>
      <c r="Q4" s="21" t="inlineStr">
        <is>
          <t>impressions_or_views</t>
        </is>
      </c>
      <c r="R4" s="21" t="inlineStr">
        <is>
          <t>engagement_rate</t>
        </is>
      </c>
      <c r="S4" s="21" t="inlineStr">
        <is>
          <t>clicks</t>
        </is>
      </c>
      <c r="T4" s="21" t="inlineStr">
        <is>
          <t>status</t>
        </is>
      </c>
      <c r="U4" s="21" t="inlineStr">
        <is>
          <t>notes</t>
        </is>
      </c>
      <c r="V4" s="21" t="inlineStr">
        <is>
          <t>duplicate_check</t>
        </is>
      </c>
      <c r="W4" s="21" t="inlineStr">
        <is>
          <t>completeness_check</t>
        </is>
      </c>
    </row>
    <row r="5" ht="15" customHeight="1" s="15">
      <c r="A5" s="28" t="inlineStr">
        <is>
          <t>EORC57-C01</t>
        </is>
      </c>
      <c r="B5" s="28" t="inlineStr">
        <is>
          <t>LinkedIn</t>
        </is>
      </c>
      <c r="C5" s="28" t="inlineStr">
        <is>
          <t>Carousel</t>
        </is>
      </c>
      <c r="D5" s="28" t="inlineStr">
        <is>
          <t>Repurposing playbooks</t>
        </is>
      </c>
      <c r="E5" s="28" t="inlineStr">
        <is>
          <t>Start by listening for claims, not topics.</t>
        </is>
      </c>
      <c r="F5" s="28" t="inlineStr">
        <is>
          <t>Start by listening for claims, not topics.
Reuse the same idea in a different shape.
Repeating an idea is not lazy when each version teaches it differently.
Save this for your next recording.
https://incubrix.com/?utm_source=linkedin&amp;utm_medium=organic_social&amp;utm_campaign=creator_engine_q4_2026&amp;utm_content=EORC57-C01&amp;utm_term=repurposing
#contentrepurposing #podcasting #contentcreator</t>
        </is>
      </c>
      <c r="G5" s="28" t="inlineStr">
        <is>
          <t>Save this for your next recording.</t>
        </is>
      </c>
      <c r="H5" s="28" t="inlineStr">
        <is>
          <t>https://incubrix.com/?utm_source=linkedin&amp;utm_medium=organic_social&amp;utm_campaign=creator_engine_q4_2026&amp;utm_content=EORC57-C01&amp;utm_term=repurposing</t>
        </is>
      </c>
      <c r="I5" s="28" t="inlineStr">
        <is>
          <t>2_Main_Output/assets/EORC57-C01/carousel.pdf</t>
        </is>
      </c>
      <c r="J5" s="28" t="inlineStr">
        <is>
          <t>2_Main_Output/assets/EORC57-C01/spec.json</t>
        </is>
      </c>
      <c r="K5" s="28" t="inlineStr">
        <is>
          <t>episode_one_recording_a_week_of_content.md</t>
        </is>
      </c>
      <c r="L5" s="28" t="inlineStr">
        <is>
          <t>IncuBrix content engine (Python, Pillow); Inter font (SIL OFL)</t>
        </is>
      </c>
      <c r="M5" s="28" t="inlineStr">
        <is>
          <t>Yes</t>
        </is>
      </c>
      <c r="N5" s="28" t="inlineStr">
        <is>
          <t>No</t>
        </is>
      </c>
      <c r="O5" s="28" t="inlineStr">
        <is>
          <t>2026-11-02 13:30</t>
        </is>
      </c>
      <c r="P5" s="28" t="n"/>
      <c r="Q5" s="28" t="n"/>
      <c r="R5" s="28" t="n"/>
      <c r="S5" s="28" t="n"/>
      <c r="T5" s="28" t="inlineStr">
        <is>
          <t>Ready</t>
        </is>
      </c>
      <c r="U5" s="28" t="inlineStr">
        <is>
          <t>target: engagement rate &gt;= 3% and CTR &gt;= 0.5% (hypothesis, unmeasured)</t>
        </is>
      </c>
      <c r="V5" s="29">
        <f>IF(A5="","",IF(COUNTIF($A$5:$A$154,A5)&gt;1,"DUPLICATE","UNIQUE"))</f>
        <v/>
      </c>
      <c r="W5" s="29">
        <f>IF(A5="","",IF(T5="Rejected","REJECTED",IF(AND(B5&lt;&gt;"",C5&lt;&gt;"",D5&lt;&gt;"",E5&lt;&gt;"",F5&lt;&gt;"",G5&lt;&gt;"",H5&lt;&gt;"",I5&lt;&gt;"",J5&lt;&gt;"",M5&lt;&gt;"",O5&lt;&gt;"",T5&lt;&gt;""),"COMPLETE","MISSING FIELDS")))</f>
        <v/>
      </c>
    </row>
    <row r="6" ht="15" customHeight="1" s="15">
      <c r="A6" s="28" t="inlineStr">
        <is>
          <t>EORC57-C02</t>
        </is>
      </c>
      <c r="B6" s="28" t="inlineStr">
        <is>
          <t>Instagram</t>
        </is>
      </c>
      <c r="C6" s="28" t="inlineStr">
        <is>
          <t>Carousel</t>
        </is>
      </c>
      <c r="D6" s="28" t="inlineStr">
        <is>
          <t>Hooks and openings</t>
        </is>
      </c>
      <c r="E6" s="28" t="inlineStr">
        <is>
          <t>Never start a clip with a greeting.</t>
        </is>
      </c>
      <c r="F6" s="28" t="inlineStr">
        <is>
          <t>Never start a clip with a greeting.
If you ever need to fix a mistake, you can go back and cut it again.
Ask permission before you publish anyone else's voice or face.
Save this for your next recording.
https://incubrix.com/?utm_source=instagram&amp;utm_medium=organic_social&amp;utm_campaign=creator_engine_q4_2026&amp;utm_content=EORC57-C02&amp;utm_term=hooks
#videohooks #contentstrategy #shortformvideo</t>
        </is>
      </c>
      <c r="G6" s="28" t="inlineStr">
        <is>
          <t>Save this for your next recording.</t>
        </is>
      </c>
      <c r="H6" s="28" t="inlineStr">
        <is>
          <t>https://incubrix.com/?utm_source=instagram&amp;utm_medium=organic_social&amp;utm_campaign=creator_engine_q4_2026&amp;utm_content=EORC57-C02&amp;utm_term=hooks</t>
        </is>
      </c>
      <c r="I6" s="28" t="inlineStr">
        <is>
          <t>2_Main_Output/assets/EORC57-C02/carousel.pdf</t>
        </is>
      </c>
      <c r="J6" s="28" t="inlineStr">
        <is>
          <t>2_Main_Output/assets/EORC57-C02/spec.json</t>
        </is>
      </c>
      <c r="K6" s="28" t="inlineStr">
        <is>
          <t>episode_one_recording_a_week_of_content.md</t>
        </is>
      </c>
      <c r="L6" s="28" t="inlineStr">
        <is>
          <t>IncuBrix content engine (Python, Pillow); Inter font (SIL OFL)</t>
        </is>
      </c>
      <c r="M6" s="28" t="inlineStr">
        <is>
          <t>Yes</t>
        </is>
      </c>
      <c r="N6" s="28" t="inlineStr">
        <is>
          <t>No</t>
        </is>
      </c>
      <c r="O6" s="28" t="inlineStr">
        <is>
          <t>2026-11-02 17:00</t>
        </is>
      </c>
      <c r="P6" s="28" t="n"/>
      <c r="Q6" s="28" t="n"/>
      <c r="R6" s="28" t="n"/>
      <c r="S6" s="28" t="n"/>
      <c r="T6" s="28" t="inlineStr">
        <is>
          <t>Ready</t>
        </is>
      </c>
      <c r="U6" s="28" t="inlineStr">
        <is>
          <t>target: engagement rate &gt;= 3% and CTR &gt;= 0.5% (hypothesis, unmeasured)</t>
        </is>
      </c>
      <c r="V6" s="29">
        <f>IF(A6="","",IF(COUNTIF($A$5:$A$154,A6)&gt;1,"DUPLICATE","UNIQUE"))</f>
        <v/>
      </c>
      <c r="W6" s="29">
        <f>IF(A6="","",IF(T6="Rejected","REJECTED",IF(AND(B6&lt;&gt;"",C6&lt;&gt;"",D6&lt;&gt;"",E6&lt;&gt;"",F6&lt;&gt;"",G6&lt;&gt;"",H6&lt;&gt;"",I6&lt;&gt;"",J6&lt;&gt;"",M6&lt;&gt;"",O6&lt;&gt;"",T6&lt;&gt;""),"COMPLETE","MISSING FIELDS")))</f>
        <v/>
      </c>
    </row>
    <row r="7" ht="15" customHeight="1" s="15">
      <c r="A7" s="28" t="inlineStr">
        <is>
          <t>EORC57-C03</t>
        </is>
      </c>
      <c r="B7" s="28" t="inlineStr">
        <is>
          <t>LinkedIn</t>
        </is>
      </c>
      <c r="C7" s="28" t="inlineStr">
        <is>
          <t>Carousel</t>
        </is>
      </c>
      <c r="D7" s="28" t="inlineStr">
        <is>
          <t>Creator workflow</t>
        </is>
      </c>
      <c r="E7" s="28" t="inlineStr">
        <is>
          <t>Finish every video with one clear next step.</t>
        </is>
      </c>
      <c r="F7" s="28" t="inlineStr">
        <is>
          <t>Finish every video with one clear next step.
If you ask for three things, people do none of them.
Most creators publish one long episode and then move on to the next one.
Try this on your next episode and compare.
https://incubrix.com/?utm_source=linkedin&amp;utm_medium=organic_social&amp;utm_campaign=creator_engine_q4_2026&amp;utm_content=EORC57-C03&amp;utm_term=workflow
#creatorworkflow #contentcreator #productivity</t>
        </is>
      </c>
      <c r="G7" s="28" t="inlineStr">
        <is>
          <t>Try this on your next episode and compare.</t>
        </is>
      </c>
      <c r="H7" s="28" t="inlineStr">
        <is>
          <t>https://incubrix.com/?utm_source=linkedin&amp;utm_medium=organic_social&amp;utm_campaign=creator_engine_q4_2026&amp;utm_content=EORC57-C03&amp;utm_term=workflow</t>
        </is>
      </c>
      <c r="I7" s="28" t="inlineStr">
        <is>
          <t>2_Main_Output/assets/EORC57-C03/carousel.pdf</t>
        </is>
      </c>
      <c r="J7" s="28" t="inlineStr">
        <is>
          <t>2_Main_Output/assets/EORC57-C03/spec.json</t>
        </is>
      </c>
      <c r="K7" s="28" t="inlineStr">
        <is>
          <t>episode_one_recording_a_week_of_content.md</t>
        </is>
      </c>
      <c r="L7" s="28" t="inlineStr">
        <is>
          <t>IncuBrix content engine (Python, Pillow); Inter font (SIL OFL)</t>
        </is>
      </c>
      <c r="M7" s="28" t="inlineStr">
        <is>
          <t>Yes</t>
        </is>
      </c>
      <c r="N7" s="28" t="inlineStr">
        <is>
          <t>No</t>
        </is>
      </c>
      <c r="O7" s="28" t="inlineStr">
        <is>
          <t>2026-11-03 13:30</t>
        </is>
      </c>
      <c r="P7" s="28" t="n"/>
      <c r="Q7" s="28" t="n"/>
      <c r="R7" s="28" t="n"/>
      <c r="S7" s="28" t="n"/>
      <c r="T7" s="28" t="inlineStr">
        <is>
          <t>Ready</t>
        </is>
      </c>
      <c r="U7" s="28" t="inlineStr">
        <is>
          <t>target: engagement rate &gt;= 3% and CTR &gt;= 0.5% (hypothesis, unmeasured)</t>
        </is>
      </c>
      <c r="V7" s="29">
        <f>IF(A7="","",IF(COUNTIF($A$5:$A$154,A7)&gt;1,"DUPLICATE","UNIQUE"))</f>
        <v/>
      </c>
      <c r="W7" s="29">
        <f>IF(A7="","",IF(T7="Rejected","REJECTED",IF(AND(B7&lt;&gt;"",C7&lt;&gt;"",D7&lt;&gt;"",E7&lt;&gt;"",F7&lt;&gt;"",G7&lt;&gt;"",H7&lt;&gt;"",I7&lt;&gt;"",J7&lt;&gt;"",M7&lt;&gt;"",O7&lt;&gt;"",T7&lt;&gt;""),"COMPLETE","MISSING FIELDS")))</f>
        <v/>
      </c>
    </row>
    <row r="8" ht="15" customHeight="1" s="15">
      <c r="A8" s="28" t="inlineStr">
        <is>
          <t>EORC57-C04</t>
        </is>
      </c>
      <c r="B8" s="28" t="inlineStr">
        <is>
          <t>Instagram</t>
        </is>
      </c>
      <c r="C8" s="28" t="inlineStr">
        <is>
          <t>Carousel</t>
        </is>
      </c>
      <c r="D8" s="28" t="inlineStr">
        <is>
          <t>Trust and rights</t>
        </is>
      </c>
      <c r="E8" s="28" t="inlineStr">
        <is>
          <t>A guest agreed to the full conversation, not necessarily to every clip.</t>
        </is>
      </c>
      <c r="F8" s="28" t="inlineStr">
        <is>
          <t>A guest agreed to the full conversation, not necessarily to every clip.
An hour of audio gives you twelve windows, and each window usually holds one strong idea.
You only need to find the clearest one in each window.
Save this for your next recording.
https://incubrix.com/?utm_source=instagram&amp;utm_medium=organic_social&amp;utm_campaign=creator_engine_q4_2026&amp;utm_content=EORC57-C04&amp;utm_term=trust
#creatoreconomy #contentcreator #podcasting</t>
        </is>
      </c>
      <c r="G8" s="28" t="inlineStr">
        <is>
          <t>Save this for your next recording.</t>
        </is>
      </c>
      <c r="H8" s="28" t="inlineStr">
        <is>
          <t>https://incubrix.com/?utm_source=instagram&amp;utm_medium=organic_social&amp;utm_campaign=creator_engine_q4_2026&amp;utm_content=EORC57-C04&amp;utm_term=trust</t>
        </is>
      </c>
      <c r="I8" s="28" t="inlineStr">
        <is>
          <t>2_Main_Output/assets/EORC57-C04/carousel.pdf</t>
        </is>
      </c>
      <c r="J8" s="28" t="inlineStr">
        <is>
          <t>2_Main_Output/assets/EORC57-C04/spec.json</t>
        </is>
      </c>
      <c r="K8" s="28" t="inlineStr">
        <is>
          <t>episode_one_recording_a_week_of_content.md</t>
        </is>
      </c>
      <c r="L8" s="28" t="inlineStr">
        <is>
          <t>IncuBrix content engine (Python, Pillow); Inter font (SIL OFL)</t>
        </is>
      </c>
      <c r="M8" s="28" t="inlineStr">
        <is>
          <t>Yes</t>
        </is>
      </c>
      <c r="N8" s="28" t="inlineStr">
        <is>
          <t>No</t>
        </is>
      </c>
      <c r="O8" s="28" t="inlineStr">
        <is>
          <t>2026-11-03 17:00</t>
        </is>
      </c>
      <c r="P8" s="28" t="n"/>
      <c r="Q8" s="28" t="n"/>
      <c r="R8" s="28" t="n"/>
      <c r="S8" s="28" t="n"/>
      <c r="T8" s="28" t="inlineStr">
        <is>
          <t>Ready</t>
        </is>
      </c>
      <c r="U8" s="28" t="inlineStr">
        <is>
          <t>target: engagement rate &gt;= 3% and CTR &gt;= 0.5% (hypothesis, unmeasured)</t>
        </is>
      </c>
      <c r="V8" s="29">
        <f>IF(A8="","",IF(COUNTIF($A$5:$A$154,A8)&gt;1,"DUPLICATE","UNIQUE"))</f>
        <v/>
      </c>
      <c r="W8" s="29">
        <f>IF(A8="","",IF(T8="Rejected","REJECTED",IF(AND(B8&lt;&gt;"",C8&lt;&gt;"",D8&lt;&gt;"",E8&lt;&gt;"",F8&lt;&gt;"",G8&lt;&gt;"",H8&lt;&gt;"",I8&lt;&gt;"",J8&lt;&gt;"",M8&lt;&gt;"",O8&lt;&gt;"",T8&lt;&gt;""),"COMPLETE","MISSING FIELDS")))</f>
        <v/>
      </c>
    </row>
    <row r="9" ht="15" customHeight="1" s="15">
      <c r="A9" s="28" t="inlineStr">
        <is>
          <t>EORC57-G01</t>
        </is>
      </c>
      <c r="B9" s="28" t="inlineStr">
        <is>
          <t>LinkedIn</t>
        </is>
      </c>
      <c r="C9" s="28" t="inlineStr">
        <is>
          <t>Graphic</t>
        </is>
      </c>
      <c r="D9" s="28" t="inlineStr">
        <is>
          <t>Captions and editing craft</t>
        </is>
      </c>
      <c r="E9" s="28" t="inlineStr">
        <is>
          <t>Keep every short video under sixty seconds, and aim for thirty.</t>
        </is>
      </c>
      <c r="F9" s="28" t="inlineStr">
        <is>
          <t>Keep every short video under sixty seconds, and aim for thirty.
Say the surprising sentence first, then explain it.
Which one will you try first?
https://incubrix.com/?utm_source=linkedin&amp;utm_medium=organic_social&amp;utm_campaign=creator_engine_q4_2026&amp;utm_content=EORC57-G01&amp;utm_term=craft
#videoediting #captions #contentcreator</t>
        </is>
      </c>
      <c r="G9" s="28" t="inlineStr">
        <is>
          <t>Which one will you try first?</t>
        </is>
      </c>
      <c r="H9" s="28" t="inlineStr">
        <is>
          <t>https://incubrix.com/?utm_source=linkedin&amp;utm_medium=organic_social&amp;utm_campaign=creator_engine_q4_2026&amp;utm_content=EORC57-G01&amp;utm_term=craft</t>
        </is>
      </c>
      <c r="I9" s="28" t="inlineStr">
        <is>
          <t>2_Main_Output/assets/EORC57-G01/final.png</t>
        </is>
      </c>
      <c r="J9" s="28" t="inlineStr">
        <is>
          <t>2_Main_Output/assets/EORC57-G01/spec.json</t>
        </is>
      </c>
      <c r="K9" s="28" t="inlineStr">
        <is>
          <t>episode_one_recording_a_week_of_content.md</t>
        </is>
      </c>
      <c r="L9" s="28" t="inlineStr">
        <is>
          <t>IncuBrix content engine (Python, Pillow); Inter font (SIL OFL)</t>
        </is>
      </c>
      <c r="M9" s="28" t="inlineStr">
        <is>
          <t>Yes</t>
        </is>
      </c>
      <c r="N9" s="28" t="inlineStr">
        <is>
          <t>No</t>
        </is>
      </c>
      <c r="O9" s="28" t="inlineStr">
        <is>
          <t>2026-11-04 13:30</t>
        </is>
      </c>
      <c r="P9" s="28" t="n"/>
      <c r="Q9" s="28" t="n"/>
      <c r="R9" s="28" t="n"/>
      <c r="S9" s="28" t="n"/>
      <c r="T9" s="28" t="inlineStr">
        <is>
          <t>Ready</t>
        </is>
      </c>
      <c r="U9" s="28" t="inlineStr">
        <is>
          <t>target: engagement rate &gt;= 3% and CTR &gt;= 0.5% (hypothesis, unmeasured)</t>
        </is>
      </c>
      <c r="V9" s="29">
        <f>IF(A9="","",IF(COUNTIF($A$5:$A$154,A9)&gt;1,"DUPLICATE","UNIQUE"))</f>
        <v/>
      </c>
      <c r="W9" s="29">
        <f>IF(A9="","",IF(T9="Rejected","REJECTED",IF(AND(B9&lt;&gt;"",C9&lt;&gt;"",D9&lt;&gt;"",E9&lt;&gt;"",F9&lt;&gt;"",G9&lt;&gt;"",H9&lt;&gt;"",I9&lt;&gt;"",J9&lt;&gt;"",M9&lt;&gt;"",O9&lt;&gt;"",T9&lt;&gt;""),"COMPLETE","MISSING FIELDS")))</f>
        <v/>
      </c>
    </row>
    <row r="10" ht="15" customHeight="1" s="15">
      <c r="A10" s="28" t="inlineStr">
        <is>
          <t>EORC57-G02</t>
        </is>
      </c>
      <c r="B10" s="28" t="inlineStr">
        <is>
          <t>Instagram</t>
        </is>
      </c>
      <c r="C10" s="28" t="inlineStr">
        <is>
          <t>Graphic</t>
        </is>
      </c>
      <c r="D10" s="28" t="inlineStr">
        <is>
          <t>Repurposing playbooks</t>
        </is>
      </c>
      <c r="E10" s="28" t="inlineStr">
        <is>
          <t>Reuse the same idea in a different shape.</t>
        </is>
      </c>
      <c r="F10" s="28" t="inlineStr">
        <is>
          <t>Reuse the same idea in a different shape.
Never start a clip with a greeting.
Which one will you try first?
https://incubrix.com/?utm_source=instagram&amp;utm_medium=organic_social&amp;utm_campaign=creator_engine_q4_2026&amp;utm_content=EORC57-G02&amp;utm_term=repurposing
#contentrepurposing #podcasting #contentcreator</t>
        </is>
      </c>
      <c r="G10" s="28" t="inlineStr">
        <is>
          <t>Which one will you try first?</t>
        </is>
      </c>
      <c r="H10" s="28" t="inlineStr">
        <is>
          <t>https://incubrix.com/?utm_source=instagram&amp;utm_medium=organic_social&amp;utm_campaign=creator_engine_q4_2026&amp;utm_content=EORC57-G02&amp;utm_term=repurposing</t>
        </is>
      </c>
      <c r="I10" s="28" t="inlineStr">
        <is>
          <t>2_Main_Output/assets/EORC57-G02/final.png</t>
        </is>
      </c>
      <c r="J10" s="28" t="inlineStr">
        <is>
          <t>2_Main_Output/assets/EORC57-G02/spec.json</t>
        </is>
      </c>
      <c r="K10" s="28" t="inlineStr">
        <is>
          <t>episode_one_recording_a_week_of_content.md</t>
        </is>
      </c>
      <c r="L10" s="28" t="inlineStr">
        <is>
          <t>IncuBrix content engine (Python, Pillow); Inter font (SIL OFL)</t>
        </is>
      </c>
      <c r="M10" s="28" t="inlineStr">
        <is>
          <t>Yes</t>
        </is>
      </c>
      <c r="N10" s="28" t="inlineStr">
        <is>
          <t>No</t>
        </is>
      </c>
      <c r="O10" s="28" t="inlineStr">
        <is>
          <t>2026-11-04 17:00</t>
        </is>
      </c>
      <c r="P10" s="28" t="n"/>
      <c r="Q10" s="28" t="n"/>
      <c r="R10" s="28" t="n"/>
      <c r="S10" s="28" t="n"/>
      <c r="T10" s="28" t="inlineStr">
        <is>
          <t>Ready</t>
        </is>
      </c>
      <c r="U10" s="28" t="inlineStr">
        <is>
          <t>target: engagement rate &gt;= 3% and CTR &gt;= 0.5% (hypothesis, unmeasured)</t>
        </is>
      </c>
      <c r="V10" s="29">
        <f>IF(A10="","",IF(COUNTIF($A$5:$A$154,A10)&gt;1,"DUPLICATE","UNIQUE"))</f>
        <v/>
      </c>
      <c r="W10" s="29">
        <f>IF(A10="","",IF(T10="Rejected","REJECTED",IF(AND(B10&lt;&gt;"",C10&lt;&gt;"",D10&lt;&gt;"",E10&lt;&gt;"",F10&lt;&gt;"",G10&lt;&gt;"",H10&lt;&gt;"",I10&lt;&gt;"",J10&lt;&gt;"",M10&lt;&gt;"",O10&lt;&gt;"",T10&lt;&gt;""),"COMPLETE","MISSING FIELDS")))</f>
        <v/>
      </c>
    </row>
    <row r="11" ht="15" customHeight="1" s="15">
      <c r="A11" s="28" t="inlineStr">
        <is>
          <t>EORC57-G03</t>
        </is>
      </c>
      <c r="B11" s="28" t="inlineStr">
        <is>
          <t>X</t>
        </is>
      </c>
      <c r="C11" s="28" t="inlineStr">
        <is>
          <t>Graphic</t>
        </is>
      </c>
      <c r="D11" s="28" t="inlineStr">
        <is>
          <t>Repurposing playbooks</t>
        </is>
      </c>
      <c r="E11" s="28" t="inlineStr">
        <is>
          <t>Instagram viewers want a visual and a quick idea.</t>
        </is>
      </c>
      <c r="F11" s="28" t="inlineStr">
        <is>
          <t>Instagram viewers want a visual and a quick idea.
Start on the sentence that makes your guest lean forward.
Send this to the person who edits your content.
https://incubrix.com/?utm_source=x&amp;utm_medium=organic_social&amp;utm_campaign=creator_engine_q4_2026&amp;utm_content=EORC57-G03&amp;utm_term=repurposing
#contentrepurposing #podcasting</t>
        </is>
      </c>
      <c r="G11" s="28" t="inlineStr">
        <is>
          <t>Send this to the person who edits your content.</t>
        </is>
      </c>
      <c r="H11" s="28" t="inlineStr">
        <is>
          <t>https://incubrix.com/?utm_source=x&amp;utm_medium=organic_social&amp;utm_campaign=creator_engine_q4_2026&amp;utm_content=EORC57-G03&amp;utm_term=repurposing</t>
        </is>
      </c>
      <c r="I11" s="28" t="inlineStr">
        <is>
          <t>2_Main_Output/assets/EORC57-G03/final.png</t>
        </is>
      </c>
      <c r="J11" s="28" t="inlineStr">
        <is>
          <t>2_Main_Output/assets/EORC57-G03/spec.json</t>
        </is>
      </c>
      <c r="K11" s="28" t="inlineStr">
        <is>
          <t>episode_one_recording_a_week_of_content.md</t>
        </is>
      </c>
      <c r="L11" s="28" t="inlineStr">
        <is>
          <t>IncuBrix content engine (Python, Pillow); Inter font (SIL OFL)</t>
        </is>
      </c>
      <c r="M11" s="28" t="inlineStr">
        <is>
          <t>Yes</t>
        </is>
      </c>
      <c r="N11" s="28" t="inlineStr">
        <is>
          <t>No</t>
        </is>
      </c>
      <c r="O11" s="28" t="inlineStr">
        <is>
          <t>2026-11-02 14:00</t>
        </is>
      </c>
      <c r="P11" s="28" t="n"/>
      <c r="Q11" s="28" t="n"/>
      <c r="R11" s="28" t="n"/>
      <c r="S11" s="28" t="n"/>
      <c r="T11" s="28" t="inlineStr">
        <is>
          <t>Ready</t>
        </is>
      </c>
      <c r="U11" s="28" t="inlineStr">
        <is>
          <t>target: engagement rate &gt;= 3% and CTR &gt;= 0.5% (hypothesis, unmeasured)</t>
        </is>
      </c>
      <c r="V11" s="29">
        <f>IF(A11="","",IF(COUNTIF($A$5:$A$154,A11)&gt;1,"DUPLICATE","UNIQUE"))</f>
        <v/>
      </c>
      <c r="W11" s="29">
        <f>IF(A11="","",IF(T11="Rejected","REJECTED",IF(AND(B11&lt;&gt;"",C11&lt;&gt;"",D11&lt;&gt;"",E11&lt;&gt;"",F11&lt;&gt;"",G11&lt;&gt;"",H11&lt;&gt;"",I11&lt;&gt;"",J11&lt;&gt;"",M11&lt;&gt;"",O11&lt;&gt;"",T11&lt;&gt;""),"COMPLETE","MISSING FIELDS")))</f>
        <v/>
      </c>
    </row>
    <row r="12" ht="15" customHeight="1" s="15">
      <c r="A12" s="28" t="inlineStr">
        <is>
          <t>EORC57-G04</t>
        </is>
      </c>
      <c r="B12" s="28" t="inlineStr">
        <is>
          <t>Threads</t>
        </is>
      </c>
      <c r="C12" s="28" t="inlineStr">
        <is>
          <t>Graphic</t>
        </is>
      </c>
      <c r="D12" s="28" t="inlineStr">
        <is>
          <t>Repurposing playbooks</t>
        </is>
      </c>
      <c r="E12" s="28" t="inlineStr">
        <is>
          <t>Scan the recording in five minute windows.</t>
        </is>
      </c>
      <c r="F12" s="28" t="inlineStr">
        <is>
          <t>Scan the recording in five minute windows.
Keep every short video under sixty seconds, and aim for thirty.
Which one will you try first?
https://incubrix.com/?utm_source=threads&amp;utm_medium=organic_social&amp;utm_campaign=creator_engine_q4_2026&amp;utm_content=EORC57-G04&amp;utm_term=repurposing
#contentrepurposing</t>
        </is>
      </c>
      <c r="G12" s="28" t="inlineStr">
        <is>
          <t>Which one will you try first?</t>
        </is>
      </c>
      <c r="H12" s="28" t="inlineStr">
        <is>
          <t>https://incubrix.com/?utm_source=threads&amp;utm_medium=organic_social&amp;utm_campaign=creator_engine_q4_2026&amp;utm_content=EORC57-G04&amp;utm_term=repurposing</t>
        </is>
      </c>
      <c r="I12" s="28" t="inlineStr">
        <is>
          <t>2_Main_Output/assets/EORC57-G04/final.png</t>
        </is>
      </c>
      <c r="J12" s="28" t="inlineStr">
        <is>
          <t>2_Main_Output/assets/EORC57-G04/spec.json</t>
        </is>
      </c>
      <c r="K12" s="28" t="inlineStr">
        <is>
          <t>episode_one_recording_a_week_of_content.md</t>
        </is>
      </c>
      <c r="L12" s="28" t="inlineStr">
        <is>
          <t>IncuBrix content engine (Python, Pillow); Inter font (SIL OFL)</t>
        </is>
      </c>
      <c r="M12" s="28" t="inlineStr">
        <is>
          <t>Yes</t>
        </is>
      </c>
      <c r="N12" s="28" t="inlineStr">
        <is>
          <t>No</t>
        </is>
      </c>
      <c r="O12" s="28" t="inlineStr">
        <is>
          <t>2026-11-02 18:00</t>
        </is>
      </c>
      <c r="P12" s="28" t="n"/>
      <c r="Q12" s="28" t="n"/>
      <c r="R12" s="28" t="n"/>
      <c r="S12" s="28" t="n"/>
      <c r="T12" s="28" t="inlineStr">
        <is>
          <t>Ready</t>
        </is>
      </c>
      <c r="U12" s="28" t="inlineStr">
        <is>
          <t>target: engagement rate &gt;= 3% and CTR &gt;= 0.5% (hypothesis, unmeasured)</t>
        </is>
      </c>
      <c r="V12" s="29">
        <f>IF(A12="","",IF(COUNTIF($A$5:$A$154,A12)&gt;1,"DUPLICATE","UNIQUE"))</f>
        <v/>
      </c>
      <c r="W12" s="29">
        <f>IF(A12="","",IF(T12="Rejected","REJECTED",IF(AND(B12&lt;&gt;"",C12&lt;&gt;"",D12&lt;&gt;"",E12&lt;&gt;"",F12&lt;&gt;"",G12&lt;&gt;"",H12&lt;&gt;"",I12&lt;&gt;"",J12&lt;&gt;"",M12&lt;&gt;"",O12&lt;&gt;"",T12&lt;&gt;""),"COMPLETE","MISSING FIELDS")))</f>
        <v/>
      </c>
    </row>
    <row r="13" ht="15" customHeight="1" s="15">
      <c r="A13" s="28" t="inlineStr">
        <is>
          <t>EORC57-T01</t>
        </is>
      </c>
      <c r="B13" s="28" t="inlineStr">
        <is>
          <t>LinkedIn</t>
        </is>
      </c>
      <c r="C13" s="28" t="inlineStr">
        <is>
          <t>Text post</t>
        </is>
      </c>
      <c r="D13" s="28" t="inlineStr">
        <is>
          <t>Repurposing playbooks</t>
        </is>
      </c>
      <c r="E13" s="28" t="inlineStr">
        <is>
          <t>The goal is to make each recording travel further.</t>
        </is>
      </c>
      <c r="F13" s="28" t="inlineStr">
        <is>
          <t>The goal is to make each recording travel further.
Add captions to every video, because most people watch with the sound off.
Check each caption against the audio before you publish, because a wrong word destroys trust quickly.
Which one will you try first?
https://incubrix.com/?utm_source=linkedin&amp;utm_medium=organic_social&amp;utm_campaign=creator_engine_q4_2026&amp;utm_content=EORC57-T01&amp;utm_term=repurposing
#contentrepurposing #podcasting #contentcreator</t>
        </is>
      </c>
      <c r="G13" s="28" t="inlineStr">
        <is>
          <t>Which one will you try first?</t>
        </is>
      </c>
      <c r="H13" s="28" t="inlineStr">
        <is>
          <t>https://incubrix.com/?utm_source=linkedin&amp;utm_medium=organic_social&amp;utm_campaign=creator_engine_q4_2026&amp;utm_content=EORC57-T01&amp;utm_term=repurposing</t>
        </is>
      </c>
      <c r="I13" s="28" t="inlineStr">
        <is>
          <t>2_Main_Output/assets/EORC57-T01/final.txt</t>
        </is>
      </c>
      <c r="J13" s="28" t="inlineStr">
        <is>
          <t>2_Main_Output/assets/EORC57-T01/spec.json</t>
        </is>
      </c>
      <c r="K13" s="28" t="inlineStr">
        <is>
          <t>episode_one_recording_a_week_of_content.md</t>
        </is>
      </c>
      <c r="L13" s="28" t="inlineStr">
        <is>
          <t>IncuBrix content engine (Python)</t>
        </is>
      </c>
      <c r="M13" s="28" t="inlineStr">
        <is>
          <t>Yes</t>
        </is>
      </c>
      <c r="N13" s="28" t="inlineStr">
        <is>
          <t>No</t>
        </is>
      </c>
      <c r="O13" s="28" t="inlineStr">
        <is>
          <t>2026-11-05 13:30</t>
        </is>
      </c>
      <c r="P13" s="28" t="n"/>
      <c r="Q13" s="28" t="n"/>
      <c r="R13" s="28" t="n"/>
      <c r="S13" s="28" t="n"/>
      <c r="T13" s="28" t="inlineStr">
        <is>
          <t>Ready</t>
        </is>
      </c>
      <c r="U13" s="28" t="inlineStr">
        <is>
          <t>target: engagement rate &gt;= 3% and CTR &gt;= 0.5% (hypothesis, unmeasured)</t>
        </is>
      </c>
      <c r="V13" s="29">
        <f>IF(A13="","",IF(COUNTIF($A$5:$A$154,A13)&gt;1,"DUPLICATE","UNIQUE"))</f>
        <v/>
      </c>
      <c r="W13" s="29">
        <f>IF(A13="","",IF(T13="Rejected","REJECTED",IF(AND(B13&lt;&gt;"",C13&lt;&gt;"",D13&lt;&gt;"",E13&lt;&gt;"",F13&lt;&gt;"",G13&lt;&gt;"",H13&lt;&gt;"",I13&lt;&gt;"",J13&lt;&gt;"",M13&lt;&gt;"",O13&lt;&gt;"",T13&lt;&gt;""),"COMPLETE","MISSING FIELDS")))</f>
        <v/>
      </c>
    </row>
    <row r="14" ht="15" customHeight="1" s="15">
      <c r="A14" s="28" t="inlineStr">
        <is>
          <t>EORC57-T02</t>
        </is>
      </c>
      <c r="B14" s="28" t="inlineStr">
        <is>
          <t>X</t>
        </is>
      </c>
      <c r="C14" s="28" t="inlineStr">
        <is>
          <t>Text post</t>
        </is>
      </c>
      <c r="D14" s="28" t="inlineStr">
        <is>
          <t>Creator workflow</t>
        </is>
      </c>
      <c r="E14" s="28" t="inlineStr">
        <is>
          <t>The goal is not to post more.</t>
        </is>
      </c>
      <c r="F14" s="28" t="inlineStr">
        <is>
          <t>The goal is not to post more.
Write the first line of the caption last.
The first line is the only part most people read.
Send this to the person who edits your content.
https://incubrix.com/?utm_source=x&amp;utm_medium=organic_social&amp;utm_campaign=creator_engine_q4_2026&amp;utm_content=EORC57-T02&amp;utm_term=workflow
#creatorworkflow #contentcreator</t>
        </is>
      </c>
      <c r="G14" s="28" t="inlineStr">
        <is>
          <t>Send this to the person who edits your content.</t>
        </is>
      </c>
      <c r="H14" s="28" t="inlineStr">
        <is>
          <t>https://incubrix.com/?utm_source=x&amp;utm_medium=organic_social&amp;utm_campaign=creator_engine_q4_2026&amp;utm_content=EORC57-T02&amp;utm_term=workflow</t>
        </is>
      </c>
      <c r="I14" s="28" t="inlineStr">
        <is>
          <t>2_Main_Output/assets/EORC57-T02/final.txt</t>
        </is>
      </c>
      <c r="J14" s="28" t="inlineStr">
        <is>
          <t>2_Main_Output/assets/EORC57-T02/spec.json</t>
        </is>
      </c>
      <c r="K14" s="28" t="inlineStr">
        <is>
          <t>episode_one_recording_a_week_of_content.md</t>
        </is>
      </c>
      <c r="L14" s="28" t="inlineStr">
        <is>
          <t>IncuBrix content engine (Python)</t>
        </is>
      </c>
      <c r="M14" s="28" t="inlineStr">
        <is>
          <t>Yes</t>
        </is>
      </c>
      <c r="N14" s="28" t="inlineStr">
        <is>
          <t>No</t>
        </is>
      </c>
      <c r="O14" s="28" t="inlineStr">
        <is>
          <t>2026-11-03 14:00</t>
        </is>
      </c>
      <c r="P14" s="28" t="n"/>
      <c r="Q14" s="28" t="n"/>
      <c r="R14" s="28" t="n"/>
      <c r="S14" s="28" t="n"/>
      <c r="T14" s="28" t="inlineStr">
        <is>
          <t>Ready</t>
        </is>
      </c>
      <c r="U14" s="28" t="inlineStr">
        <is>
          <t>target: engagement rate &gt;= 3% and CTR &gt;= 0.5% (hypothesis, unmeasured)</t>
        </is>
      </c>
      <c r="V14" s="29">
        <f>IF(A14="","",IF(COUNTIF($A$5:$A$154,A14)&gt;1,"DUPLICATE","UNIQUE"))</f>
        <v/>
      </c>
      <c r="W14" s="29">
        <f>IF(A14="","",IF(T14="Rejected","REJECTED",IF(AND(B14&lt;&gt;"",C14&lt;&gt;"",D14&lt;&gt;"",E14&lt;&gt;"",F14&lt;&gt;"",G14&lt;&gt;"",H14&lt;&gt;"",I14&lt;&gt;"",J14&lt;&gt;"",M14&lt;&gt;"",O14&lt;&gt;"",T14&lt;&gt;""),"COMPLETE","MISSING FIELDS")))</f>
        <v/>
      </c>
    </row>
    <row r="15" ht="15" customHeight="1" s="15">
      <c r="A15" s="28" t="inlineStr">
        <is>
          <t>EORC57-T03</t>
        </is>
      </c>
      <c r="B15" s="28" t="inlineStr">
        <is>
          <t>Threads</t>
        </is>
      </c>
      <c r="C15" s="28" t="inlineStr">
        <is>
          <t>Text post</t>
        </is>
      </c>
      <c r="D15" s="28" t="inlineStr">
        <is>
          <t>Creator workflow</t>
        </is>
      </c>
      <c r="E15" s="28" t="inlineStr">
        <is>
          <t>Track one number per post, not ten.</t>
        </is>
      </c>
      <c r="F15" s="28" t="inlineStr">
        <is>
          <t>Track one number per post, not ten.
Give each platform its own version instead of posting the same file everywhere.
Instagram viewers want a visual and a quick idea.
Pick one idea and ship it this week.
https://incubrix.com/?utm_source=threads&amp;utm_medium=organic_social&amp;utm_campaign=creator_engine_q4_2026&amp;utm_content=EORC57-T03&amp;utm_term=workflow
#creatorworkflow</t>
        </is>
      </c>
      <c r="G15" s="28" t="inlineStr">
        <is>
          <t>Pick one idea and ship it this week.</t>
        </is>
      </c>
      <c r="H15" s="28" t="inlineStr">
        <is>
          <t>https://incubrix.com/?utm_source=threads&amp;utm_medium=organic_social&amp;utm_campaign=creator_engine_q4_2026&amp;utm_content=EORC57-T03&amp;utm_term=workflow</t>
        </is>
      </c>
      <c r="I15" s="28" t="inlineStr">
        <is>
          <t>2_Main_Output/assets/EORC57-T03/final.txt</t>
        </is>
      </c>
      <c r="J15" s="28" t="inlineStr">
        <is>
          <t>2_Main_Output/assets/EORC57-T03/spec.json</t>
        </is>
      </c>
      <c r="K15" s="28" t="inlineStr">
        <is>
          <t>episode_one_recording_a_week_of_content.md</t>
        </is>
      </c>
      <c r="L15" s="28" t="inlineStr">
        <is>
          <t>IncuBrix content engine (Python)</t>
        </is>
      </c>
      <c r="M15" s="28" t="inlineStr">
        <is>
          <t>Yes</t>
        </is>
      </c>
      <c r="N15" s="28" t="inlineStr">
        <is>
          <t>No</t>
        </is>
      </c>
      <c r="O15" s="28" t="inlineStr">
        <is>
          <t>2026-11-03 18:00</t>
        </is>
      </c>
      <c r="P15" s="28" t="n"/>
      <c r="Q15" s="28" t="n"/>
      <c r="R15" s="28" t="n"/>
      <c r="S15" s="28" t="n"/>
      <c r="T15" s="28" t="inlineStr">
        <is>
          <t>Ready</t>
        </is>
      </c>
      <c r="U15" s="28" t="inlineStr">
        <is>
          <t>target: engagement rate &gt;= 3% and CTR &gt;= 0.5% (hypothesis, unmeasured)</t>
        </is>
      </c>
      <c r="V15" s="29">
        <f>IF(A15="","",IF(COUNTIF($A$5:$A$154,A15)&gt;1,"DUPLICATE","UNIQUE"))</f>
        <v/>
      </c>
      <c r="W15" s="29">
        <f>IF(A15="","",IF(T15="Rejected","REJECTED",IF(AND(B15&lt;&gt;"",C15&lt;&gt;"",D15&lt;&gt;"",E15&lt;&gt;"",F15&lt;&gt;"",G15&lt;&gt;"",H15&lt;&gt;"",I15&lt;&gt;"",J15&lt;&gt;"",M15&lt;&gt;"",O15&lt;&gt;"",T15&lt;&gt;""),"COMPLETE","MISSING FIELDS")))</f>
        <v/>
      </c>
    </row>
    <row r="16" ht="15" customHeight="1" s="15">
      <c r="A16" s="28" t="inlineStr">
        <is>
          <t>EORC57-T04</t>
        </is>
      </c>
      <c r="B16" s="28" t="inlineStr">
        <is>
          <t>LinkedIn</t>
        </is>
      </c>
      <c r="C16" s="28" t="inlineStr">
        <is>
          <t>Text post</t>
        </is>
      </c>
      <c r="D16" s="28" t="inlineStr">
        <is>
          <t>Repurposing playbooks</t>
        </is>
      </c>
      <c r="E16" s="28" t="inlineStr">
        <is>
          <t>Do not post everything on day one.</t>
        </is>
      </c>
      <c r="F16" s="28" t="inlineStr">
        <is>
          <t>Do not post everything on day one.
The idea can be the same while the packaging changes.
A carousel lets someone save the idea and come back to it later.
Send this to the person who edits your content.
https://incubrix.com/?utm_source=linkedin&amp;utm_medium=organic_social&amp;utm_campaign=creator_engine_q4_2026&amp;utm_content=EORC57-T04&amp;utm_term=repurposing
#contentrepurposing #podcasting #contentcreator</t>
        </is>
      </c>
      <c r="G16" s="28" t="inlineStr">
        <is>
          <t>Send this to the person who edits your content.</t>
        </is>
      </c>
      <c r="H16" s="28" t="inlineStr">
        <is>
          <t>https://incubrix.com/?utm_source=linkedin&amp;utm_medium=organic_social&amp;utm_campaign=creator_engine_q4_2026&amp;utm_content=EORC57-T04&amp;utm_term=repurposing</t>
        </is>
      </c>
      <c r="I16" s="28" t="inlineStr">
        <is>
          <t>2_Main_Output/assets/EORC57-T04/final.txt</t>
        </is>
      </c>
      <c r="J16" s="28" t="inlineStr">
        <is>
          <t>2_Main_Output/assets/EORC57-T04/spec.json</t>
        </is>
      </c>
      <c r="K16" s="28" t="inlineStr">
        <is>
          <t>episode_one_recording_a_week_of_content.md</t>
        </is>
      </c>
      <c r="L16" s="28" t="inlineStr">
        <is>
          <t>IncuBrix content engine (Python)</t>
        </is>
      </c>
      <c r="M16" s="28" t="inlineStr">
        <is>
          <t>Yes</t>
        </is>
      </c>
      <c r="N16" s="28" t="inlineStr">
        <is>
          <t>No</t>
        </is>
      </c>
      <c r="O16" s="28" t="inlineStr">
        <is>
          <t>2026-11-06 13:30</t>
        </is>
      </c>
      <c r="P16" s="28" t="n"/>
      <c r="Q16" s="28" t="n"/>
      <c r="R16" s="28" t="n"/>
      <c r="S16" s="28" t="n"/>
      <c r="T16" s="28" t="inlineStr">
        <is>
          <t>Ready</t>
        </is>
      </c>
      <c r="U16" s="28" t="inlineStr">
        <is>
          <t>target: engagement rate &gt;= 3% and CTR &gt;= 0.5% (hypothesis, unmeasured)</t>
        </is>
      </c>
      <c r="V16" s="29">
        <f>IF(A16="","",IF(COUNTIF($A$5:$A$154,A16)&gt;1,"DUPLICATE","UNIQUE"))</f>
        <v/>
      </c>
      <c r="W16" s="29">
        <f>IF(A16="","",IF(T16="Rejected","REJECTED",IF(AND(B16&lt;&gt;"",C16&lt;&gt;"",D16&lt;&gt;"",E16&lt;&gt;"",F16&lt;&gt;"",G16&lt;&gt;"",H16&lt;&gt;"",I16&lt;&gt;"",J16&lt;&gt;"",M16&lt;&gt;"",O16&lt;&gt;"",T16&lt;&gt;""),"COMPLETE","MISSING FIELDS")))</f>
        <v/>
      </c>
    </row>
    <row r="17" ht="15" customHeight="1" s="15">
      <c r="A17" s="28" t="inlineStr">
        <is>
          <t>EORC57-V01</t>
        </is>
      </c>
      <c r="B17" s="28" t="inlineStr">
        <is>
          <t>Instagram</t>
        </is>
      </c>
      <c r="C17" s="28" t="inlineStr">
        <is>
          <t>Short video</t>
        </is>
      </c>
      <c r="D17" s="28" t="inlineStr">
        <is>
          <t>Captions and editing craft</t>
        </is>
      </c>
      <c r="E17" s="28" t="inlineStr">
        <is>
          <t>The first line is the only part most people read.</t>
        </is>
      </c>
      <c r="F17" s="28" t="inlineStr">
        <is>
          <t>The first line is the only part most people read.
Most creators publish one long episode and then move on to the next one.
Start by listening for claims, not topics.
Send this to the person who edits your content.
https://incubrix.com/?utm_source=instagram&amp;utm_medium=organic_social&amp;utm_campaign=creator_engine_q4_2026&amp;utm_content=EORC57-V01&amp;utm_term=craft
#videoediting #captions #contentcreator</t>
        </is>
      </c>
      <c r="G17" s="28" t="inlineStr">
        <is>
          <t>Send this to the person who edits your content.</t>
        </is>
      </c>
      <c r="H17" s="28" t="inlineStr">
        <is>
          <t>https://incubrix.com/?utm_source=instagram&amp;utm_medium=organic_social&amp;utm_campaign=creator_engine_q4_2026&amp;utm_content=EORC57-V01&amp;utm_term=craft</t>
        </is>
      </c>
      <c r="I17" s="28" t="inlineStr">
        <is>
          <t>2_Main_Output/assets/EORC57-V01/final.mp4</t>
        </is>
      </c>
      <c r="J17" s="28" t="inlineStr">
        <is>
          <t>2_Main_Output/assets/EORC57-V01/spec.json</t>
        </is>
      </c>
      <c r="K17" s="28" t="inlineStr">
        <is>
          <t>episode_one_recording_a_week_of_content.md</t>
        </is>
      </c>
      <c r="L17" s="28" t="inlineStr">
        <is>
          <t>IncuBrix content engine (Python, Pillow, ffmpeg); Inter font (SIL OFL)</t>
        </is>
      </c>
      <c r="M17" s="28" t="inlineStr">
        <is>
          <t>Yes</t>
        </is>
      </c>
      <c r="N17" s="28" t="inlineStr">
        <is>
          <t>No</t>
        </is>
      </c>
      <c r="O17" s="28" t="inlineStr">
        <is>
          <t>2026-11-05 17:00</t>
        </is>
      </c>
      <c r="P17" s="28" t="n"/>
      <c r="Q17" s="28" t="n"/>
      <c r="R17" s="28" t="n"/>
      <c r="S17" s="28" t="n"/>
      <c r="T17" s="28" t="inlineStr">
        <is>
          <t>Ready</t>
        </is>
      </c>
      <c r="U17" s="28" t="inlineStr">
        <is>
          <t>target: engagement rate &gt;= 3% and CTR &gt;= 0.5% (hypothesis, unmeasured)</t>
        </is>
      </c>
      <c r="V17" s="29">
        <f>IF(A17="","",IF(COUNTIF($A$5:$A$154,A17)&gt;1,"DUPLICATE","UNIQUE"))</f>
        <v/>
      </c>
      <c r="W17" s="29">
        <f>IF(A17="","",IF(T17="Rejected","REJECTED",IF(AND(B17&lt;&gt;"",C17&lt;&gt;"",D17&lt;&gt;"",E17&lt;&gt;"",F17&lt;&gt;"",G17&lt;&gt;"",H17&lt;&gt;"",I17&lt;&gt;"",J17&lt;&gt;"",M17&lt;&gt;"",O17&lt;&gt;"",T17&lt;&gt;""),"COMPLETE","MISSING FIELDS")))</f>
        <v/>
      </c>
    </row>
    <row r="18" ht="15" customHeight="1" s="15">
      <c r="A18" s="28" t="inlineStr">
        <is>
          <t>EORC57-V02</t>
        </is>
      </c>
      <c r="B18" s="28" t="inlineStr">
        <is>
          <t>YouTube Shorts</t>
        </is>
      </c>
      <c r="C18" s="28" t="inlineStr">
        <is>
          <t>Short video</t>
        </is>
      </c>
      <c r="D18" s="28" t="inlineStr">
        <is>
          <t>Hooks and openings</t>
        </is>
      </c>
      <c r="E18" s="28" t="inlineStr">
        <is>
          <t>Claims make people stop scrolling because they create tension.</t>
        </is>
      </c>
      <c r="F18" s="28" t="inlineStr">
        <is>
          <t>Claims make people stop scrolling because they create tension.
Scan the recording in five minute windows.
An hour of audio gives you twelve windows, and each window usually holds one strong idea.
Try this on your next episode and compare.
https://incubrix.com/?utm_source=youtube_shorts&amp;utm_medium=organic_social&amp;utm_campaign=creator_engine_q4_2026&amp;utm_content=EORC57-V02&amp;utm_term=hooks
#videohooks #contentstrategy #shortformvideo</t>
        </is>
      </c>
      <c r="G18" s="28" t="inlineStr">
        <is>
          <t>Try this on your next episode and compare.</t>
        </is>
      </c>
      <c r="H18" s="28" t="inlineStr">
        <is>
          <t>https://incubrix.com/?utm_source=youtube_shorts&amp;utm_medium=organic_social&amp;utm_campaign=creator_engine_q4_2026&amp;utm_content=EORC57-V02&amp;utm_term=hooks</t>
        </is>
      </c>
      <c r="I18" s="28" t="inlineStr">
        <is>
          <t>2_Main_Output/assets/EORC57-V02/final.mp4</t>
        </is>
      </c>
      <c r="J18" s="28" t="inlineStr">
        <is>
          <t>2_Main_Output/assets/EORC57-V02/spec.json</t>
        </is>
      </c>
      <c r="K18" s="28" t="inlineStr">
        <is>
          <t>episode_one_recording_a_week_of_content.md</t>
        </is>
      </c>
      <c r="L18" s="28" t="inlineStr">
        <is>
          <t>IncuBrix content engine (Python, Pillow, ffmpeg); Inter font (SIL OFL)</t>
        </is>
      </c>
      <c r="M18" s="28" t="inlineStr">
        <is>
          <t>Yes</t>
        </is>
      </c>
      <c r="N18" s="28" t="inlineStr">
        <is>
          <t>No</t>
        </is>
      </c>
      <c r="O18" s="28" t="inlineStr">
        <is>
          <t>2026-11-02 16:00</t>
        </is>
      </c>
      <c r="P18" s="28" t="n"/>
      <c r="Q18" s="28" t="n"/>
      <c r="R18" s="28" t="n"/>
      <c r="S18" s="28" t="n"/>
      <c r="T18" s="28" t="inlineStr">
        <is>
          <t>Ready</t>
        </is>
      </c>
      <c r="U18" s="28" t="inlineStr">
        <is>
          <t>target: engagement rate &gt;= 3% and CTR &gt;= 0.5% (hypothesis, unmeasured)</t>
        </is>
      </c>
      <c r="V18" s="29">
        <f>IF(A18="","",IF(COUNTIF($A$5:$A$154,A18)&gt;1,"DUPLICATE","UNIQUE"))</f>
        <v/>
      </c>
      <c r="W18" s="29">
        <f>IF(A18="","",IF(T18="Rejected","REJECTED",IF(AND(B18&lt;&gt;"",C18&lt;&gt;"",D18&lt;&gt;"",E18&lt;&gt;"",F18&lt;&gt;"",G18&lt;&gt;"",H18&lt;&gt;"",I18&lt;&gt;"",J18&lt;&gt;"",M18&lt;&gt;"",O18&lt;&gt;"",T18&lt;&gt;""),"COMPLETE","MISSING FIELDS")))</f>
        <v/>
      </c>
    </row>
    <row r="19" ht="15" customHeight="1" s="15">
      <c r="A19" s="28" t="inlineStr">
        <is>
          <t>EORC57-V03</t>
        </is>
      </c>
      <c r="B19" s="28" t="inlineStr">
        <is>
          <t>LinkedIn</t>
        </is>
      </c>
      <c r="C19" s="28" t="inlineStr">
        <is>
          <t>Short video</t>
        </is>
      </c>
      <c r="D19" s="28" t="inlineStr">
        <is>
          <t>Hooks and openings</t>
        </is>
      </c>
      <c r="E19" s="28" t="inlineStr">
        <is>
          <t>Nobody needs your name before they know why the clip matters.</t>
        </is>
      </c>
      <c r="F19" s="28" t="inlineStr">
        <is>
          <t>Nobody needs your name before they know why the clip matters.
If a clip answers two questions, cut it in half.
Viewers should know what they will learn within the first two seconds.
Send this to the person who edits your content.
https://incubrix.com/?utm_source=linkedin&amp;utm_medium=organic_social&amp;utm_campaign=creator_engine_q4_2026&amp;utm_content=EORC57-V03&amp;utm_term=hooks
#videohooks #contentstrategy #shortformvideo</t>
        </is>
      </c>
      <c r="G19" s="28" t="inlineStr">
        <is>
          <t>Send this to the person who edits your content.</t>
        </is>
      </c>
      <c r="H19" s="28" t="inlineStr">
        <is>
          <t>https://incubrix.com/?utm_source=linkedin&amp;utm_medium=organic_social&amp;utm_campaign=creator_engine_q4_2026&amp;utm_content=EORC57-V03&amp;utm_term=hooks</t>
        </is>
      </c>
      <c r="I19" s="28" t="inlineStr">
        <is>
          <t>2_Main_Output/assets/EORC57-V03/final.mp4</t>
        </is>
      </c>
      <c r="J19" s="28" t="inlineStr">
        <is>
          <t>2_Main_Output/assets/EORC57-V03/spec.json</t>
        </is>
      </c>
      <c r="K19" s="28" t="inlineStr">
        <is>
          <t>episode_one_recording_a_week_of_content.md</t>
        </is>
      </c>
      <c r="L19" s="28" t="inlineStr">
        <is>
          <t>IncuBrix content engine (Python, Pillow, ffmpeg); Inter font (SIL OFL)</t>
        </is>
      </c>
      <c r="M19" s="28" t="inlineStr">
        <is>
          <t>Yes</t>
        </is>
      </c>
      <c r="N19" s="28" t="inlineStr">
        <is>
          <t>No</t>
        </is>
      </c>
      <c r="O19" s="28" t="inlineStr">
        <is>
          <t>2026-11-09 13:30</t>
        </is>
      </c>
      <c r="P19" s="28" t="n"/>
      <c r="Q19" s="28" t="n"/>
      <c r="R19" s="28" t="n"/>
      <c r="S19" s="28" t="n"/>
      <c r="T19" s="28" t="inlineStr">
        <is>
          <t>Ready</t>
        </is>
      </c>
      <c r="U19" s="28" t="inlineStr">
        <is>
          <t>target: engagement rate &gt;= 3% and CTR &gt;= 0.5% (hypothesis, unmeasured)</t>
        </is>
      </c>
      <c r="V19" s="29">
        <f>IF(A19="","",IF(COUNTIF($A$5:$A$154,A19)&gt;1,"DUPLICATE","UNIQUE"))</f>
        <v/>
      </c>
      <c r="W19" s="29">
        <f>IF(A19="","",IF(T19="Rejected","REJECTED",IF(AND(B19&lt;&gt;"",C19&lt;&gt;"",D19&lt;&gt;"",E19&lt;&gt;"",F19&lt;&gt;"",G19&lt;&gt;"",H19&lt;&gt;"",I19&lt;&gt;"",J19&lt;&gt;"",M19&lt;&gt;"",O19&lt;&gt;"",T19&lt;&gt;""),"COMPLETE","MISSING FIELDS")))</f>
        <v/>
      </c>
    </row>
    <row r="20" ht="15" customHeight="1" s="15">
      <c r="A20" s="28" t="inlineStr">
        <is>
          <t>EORC57-V04</t>
        </is>
      </c>
      <c r="B20" s="28" t="inlineStr">
        <is>
          <t>X</t>
        </is>
      </c>
      <c r="C20" s="28" t="inlineStr">
        <is>
          <t>Short video</t>
        </is>
      </c>
      <c r="D20" s="28" t="inlineStr">
        <is>
          <t>Captions and editing craft</t>
        </is>
      </c>
      <c r="E20" s="28" t="inlineStr">
        <is>
          <t>Write the first line of the caption last.</t>
        </is>
      </c>
      <c r="F20" s="28" t="inlineStr">
        <is>
          <t>Write the first line of the caption last.
Never start a clip with a greeting.
Start on the sentence that makes your guest lean forward.
Try this on your next episode and compare.
https://incubrix.com/?utm_source=x&amp;utm_medium=organic_social&amp;utm_campaign=creator_engine_q4_2026&amp;utm_content=EORC57-V04&amp;utm_term=craft
#videoediting #captions</t>
        </is>
      </c>
      <c r="G20" s="28" t="inlineStr">
        <is>
          <t>Try this on your next episode and compare.</t>
        </is>
      </c>
      <c r="H20" s="28" t="inlineStr">
        <is>
          <t>https://incubrix.com/?utm_source=x&amp;utm_medium=organic_social&amp;utm_campaign=creator_engine_q4_2026&amp;utm_content=EORC57-V04&amp;utm_term=craft</t>
        </is>
      </c>
      <c r="I20" s="28" t="inlineStr">
        <is>
          <t>2_Main_Output/assets/EORC57-V04/final.mp4</t>
        </is>
      </c>
      <c r="J20" s="28" t="inlineStr">
        <is>
          <t>2_Main_Output/assets/EORC57-V04/spec.json</t>
        </is>
      </c>
      <c r="K20" s="28" t="inlineStr">
        <is>
          <t>episode_one_recording_a_week_of_content.md</t>
        </is>
      </c>
      <c r="L20" s="28" t="inlineStr">
        <is>
          <t>IncuBrix content engine (Python, Pillow, ffmpeg); Inter font (SIL OFL)</t>
        </is>
      </c>
      <c r="M20" s="28" t="inlineStr">
        <is>
          <t>Yes</t>
        </is>
      </c>
      <c r="N20" s="28" t="inlineStr">
        <is>
          <t>No</t>
        </is>
      </c>
      <c r="O20" s="28" t="inlineStr">
        <is>
          <t>2026-11-04 14:00</t>
        </is>
      </c>
      <c r="P20" s="28" t="n"/>
      <c r="Q20" s="28" t="n"/>
      <c r="R20" s="28" t="n"/>
      <c r="S20" s="28" t="n"/>
      <c r="T20" s="28" t="inlineStr">
        <is>
          <t>Ready</t>
        </is>
      </c>
      <c r="U20" s="28" t="inlineStr">
        <is>
          <t>target: engagement rate &gt;= 3% and CTR &gt;= 0.5% (hypothesis, unmeasured)</t>
        </is>
      </c>
      <c r="V20" s="29">
        <f>IF(A20="","",IF(COUNTIF($A$5:$A$154,A20)&gt;1,"DUPLICATE","UNIQUE"))</f>
        <v/>
      </c>
      <c r="W20" s="29">
        <f>IF(A20="","",IF(T20="Rejected","REJECTED",IF(AND(B20&lt;&gt;"",C20&lt;&gt;"",D20&lt;&gt;"",E20&lt;&gt;"",F20&lt;&gt;"",G20&lt;&gt;"",H20&lt;&gt;"",I20&lt;&gt;"",J20&lt;&gt;"",M20&lt;&gt;"",O20&lt;&gt;"",T20&lt;&gt;""),"COMPLETE","MISSING FIELDS")))</f>
        <v/>
      </c>
    </row>
    <row r="21" ht="15" customHeight="1" s="15">
      <c r="A21" s="28" t="inlineStr">
        <is>
          <t>EORC57-V05</t>
        </is>
      </c>
      <c r="B21" s="28" t="inlineStr">
        <is>
          <t>Instagram</t>
        </is>
      </c>
      <c r="C21" s="28" t="inlineStr">
        <is>
          <t>Short video</t>
        </is>
      </c>
      <c r="D21" s="28" t="inlineStr">
        <is>
          <t>Hooks and openings</t>
        </is>
      </c>
      <c r="E21" s="28" t="inlineStr">
        <is>
          <t>Viewers should know what they will learn within the first two seconds.</t>
        </is>
      </c>
      <c r="F21" s="28" t="inlineStr">
        <is>
          <t>Viewers should know what they will learn within the first two seconds.
Add captions to every video, because most people watch with the sound off.
Check each caption against the audio before you publish, because a wrong word destroys trust quickly.
Try this on your next episode and compare.
https://incubrix.com/?utm_source=instagram&amp;utm_medium=organic_social&amp;utm_campaign=creator_engine_q4_2026&amp;utm_content=EORC57-V05&amp;utm_term=hooks
#videohooks #contentstrategy #shortformvideo</t>
        </is>
      </c>
      <c r="G21" s="28" t="inlineStr">
        <is>
          <t>Try this on your next episode and compare.</t>
        </is>
      </c>
      <c r="H21" s="28" t="inlineStr">
        <is>
          <t>https://incubrix.com/?utm_source=instagram&amp;utm_medium=organic_social&amp;utm_campaign=creator_engine_q4_2026&amp;utm_content=EORC57-V05&amp;utm_term=hooks</t>
        </is>
      </c>
      <c r="I21" s="28" t="inlineStr">
        <is>
          <t>2_Main_Output/assets/EORC57-V05/final.mp4</t>
        </is>
      </c>
      <c r="J21" s="28" t="inlineStr">
        <is>
          <t>2_Main_Output/assets/EORC57-V05/spec.json</t>
        </is>
      </c>
      <c r="K21" s="28" t="inlineStr">
        <is>
          <t>episode_one_recording_a_week_of_content.md</t>
        </is>
      </c>
      <c r="L21" s="28" t="inlineStr">
        <is>
          <t>IncuBrix content engine (Python, Pillow, ffmpeg); Inter font (SIL OFL)</t>
        </is>
      </c>
      <c r="M21" s="28" t="inlineStr">
        <is>
          <t>Yes</t>
        </is>
      </c>
      <c r="N21" s="28" t="inlineStr">
        <is>
          <t>No</t>
        </is>
      </c>
      <c r="O21" s="28" t="inlineStr">
        <is>
          <t>2026-11-06 17:00</t>
        </is>
      </c>
      <c r="P21" s="28" t="n"/>
      <c r="Q21" s="28" t="n"/>
      <c r="R21" s="28" t="n"/>
      <c r="S21" s="28" t="n"/>
      <c r="T21" s="28" t="inlineStr">
        <is>
          <t>Ready</t>
        </is>
      </c>
      <c r="U21" s="28" t="inlineStr">
        <is>
          <t>target: engagement rate &gt;= 3% and CTR &gt;= 0.5% (hypothesis, unmeasured)</t>
        </is>
      </c>
      <c r="V21" s="29">
        <f>IF(A21="","",IF(COUNTIF($A$5:$A$154,A21)&gt;1,"DUPLICATE","UNIQUE"))</f>
        <v/>
      </c>
      <c r="W21" s="29">
        <f>IF(A21="","",IF(T21="Rejected","REJECTED",IF(AND(B21&lt;&gt;"",C21&lt;&gt;"",D21&lt;&gt;"",E21&lt;&gt;"",F21&lt;&gt;"",G21&lt;&gt;"",H21&lt;&gt;"",I21&lt;&gt;"",J21&lt;&gt;"",M21&lt;&gt;"",O21&lt;&gt;"",T21&lt;&gt;""),"COMPLETE","MISSING FIELDS")))</f>
        <v/>
      </c>
    </row>
    <row r="22" ht="15" customHeight="1" s="15">
      <c r="A22" s="28" t="inlineStr">
        <is>
          <t>EORC57-V06</t>
        </is>
      </c>
      <c r="B22" s="28" t="inlineStr">
        <is>
          <t>YouTube Shorts</t>
        </is>
      </c>
      <c r="C22" s="28" t="inlineStr">
        <is>
          <t>Short video</t>
        </is>
      </c>
      <c r="D22" s="28" t="inlineStr">
        <is>
          <t>Trust and rights</t>
        </is>
      </c>
      <c r="E22" s="28" t="inlineStr">
        <is>
          <t>Ask permission before you publish anyone else's voice or face.</t>
        </is>
      </c>
      <c r="F22" s="28" t="inlineStr">
        <is>
          <t>Ask permission before you publish anyone else's voice or face.
The first line is the only part most people read.
Give each platform its own version instead of posting the same file everywhere.
Try this on your next episode and compare.
https://incubrix.com/?utm_source=youtube_shorts&amp;utm_medium=organic_social&amp;utm_campaign=creator_engine_q4_2026&amp;utm_content=EORC57-V06&amp;utm_term=trust
#creatoreconomy #contentcreator #podcasting</t>
        </is>
      </c>
      <c r="G22" s="28" t="inlineStr">
        <is>
          <t>Try this on your next episode and compare.</t>
        </is>
      </c>
      <c r="H22" s="28" t="inlineStr">
        <is>
          <t>https://incubrix.com/?utm_source=youtube_shorts&amp;utm_medium=organic_social&amp;utm_campaign=creator_engine_q4_2026&amp;utm_content=EORC57-V06&amp;utm_term=trust</t>
        </is>
      </c>
      <c r="I22" s="28" t="inlineStr">
        <is>
          <t>2_Main_Output/assets/EORC57-V06/final.mp4</t>
        </is>
      </c>
      <c r="J22" s="28" t="inlineStr">
        <is>
          <t>2_Main_Output/assets/EORC57-V06/spec.json</t>
        </is>
      </c>
      <c r="K22" s="28" t="inlineStr">
        <is>
          <t>episode_one_recording_a_week_of_content.md</t>
        </is>
      </c>
      <c r="L22" s="28" t="inlineStr">
        <is>
          <t>IncuBrix content engine (Python, Pillow, ffmpeg); Inter font (SIL OFL)</t>
        </is>
      </c>
      <c r="M22" s="28" t="inlineStr">
        <is>
          <t>Yes</t>
        </is>
      </c>
      <c r="N22" s="28" t="inlineStr">
        <is>
          <t>No</t>
        </is>
      </c>
      <c r="O22" s="28" t="inlineStr">
        <is>
          <t>2026-11-03 16:00</t>
        </is>
      </c>
      <c r="P22" s="28" t="n"/>
      <c r="Q22" s="28" t="n"/>
      <c r="R22" s="28" t="n"/>
      <c r="S22" s="28" t="n"/>
      <c r="T22" s="28" t="inlineStr">
        <is>
          <t>Ready</t>
        </is>
      </c>
      <c r="U22" s="28" t="inlineStr">
        <is>
          <t>target: engagement rate &gt;= 3% and CTR &gt;= 0.5% (hypothesis, unmeasured)</t>
        </is>
      </c>
      <c r="V22" s="29">
        <f>IF(A22="","",IF(COUNTIF($A$5:$A$154,A22)&gt;1,"DUPLICATE","UNIQUE"))</f>
        <v/>
      </c>
      <c r="W22" s="29">
        <f>IF(A22="","",IF(T22="Rejected","REJECTED",IF(AND(B22&lt;&gt;"",C22&lt;&gt;"",D22&lt;&gt;"",E22&lt;&gt;"",F22&lt;&gt;"",G22&lt;&gt;"",H22&lt;&gt;"",I22&lt;&gt;"",J22&lt;&gt;"",M22&lt;&gt;"",O22&lt;&gt;"",T22&lt;&gt;""),"COMPLETE","MISSING FIELDS")))</f>
        <v/>
      </c>
    </row>
    <row r="23" ht="15" customHeight="1" s="15">
      <c r="A23" s="28" t="inlineStr">
        <is>
          <t>EORC57-V07</t>
        </is>
      </c>
      <c r="B23" s="28" t="inlineStr">
        <is>
          <t>LinkedIn</t>
        </is>
      </c>
      <c r="C23" s="28" t="inlineStr">
        <is>
          <t>Short video</t>
        </is>
      </c>
      <c r="D23" s="28" t="inlineStr">
        <is>
          <t>Creator workflow</t>
        </is>
      </c>
      <c r="E23" s="28" t="inlineStr">
        <is>
          <t>Write down which clips worked and why.</t>
        </is>
      </c>
      <c r="F23" s="28" t="inlineStr">
        <is>
          <t>Write down which clips worked and why.
The idea can be the same while the packaging changes.
A carousel lets someone save the idea and come back to it later.
Save this for your next recording.
https://incubrix.com/?utm_source=linkedin&amp;utm_medium=organic_social&amp;utm_campaign=creator_engine_q4_2026&amp;utm_content=EORC57-V07&amp;utm_term=workflow
#creatorworkflow #contentcreator #productivity</t>
        </is>
      </c>
      <c r="G23" s="28" t="inlineStr">
        <is>
          <t>Save this for your next recording.</t>
        </is>
      </c>
      <c r="H23" s="28" t="inlineStr">
        <is>
          <t>https://incubrix.com/?utm_source=linkedin&amp;utm_medium=organic_social&amp;utm_campaign=creator_engine_q4_2026&amp;utm_content=EORC57-V07&amp;utm_term=workflow</t>
        </is>
      </c>
      <c r="I23" s="28" t="inlineStr">
        <is>
          <t>2_Main_Output/assets/EORC57-V07/final.mp4</t>
        </is>
      </c>
      <c r="J23" s="28" t="inlineStr">
        <is>
          <t>2_Main_Output/assets/EORC57-V07/spec.json</t>
        </is>
      </c>
      <c r="K23" s="28" t="inlineStr">
        <is>
          <t>episode_one_recording_a_week_of_content.md</t>
        </is>
      </c>
      <c r="L23" s="28" t="inlineStr">
        <is>
          <t>IncuBrix content engine (Python, Pillow, ffmpeg); Inter font (SIL OFL)</t>
        </is>
      </c>
      <c r="M23" s="28" t="inlineStr">
        <is>
          <t>Yes</t>
        </is>
      </c>
      <c r="N23" s="28" t="inlineStr">
        <is>
          <t>No</t>
        </is>
      </c>
      <c r="O23" s="28" t="inlineStr">
        <is>
          <t>2026-11-09 13:30</t>
        </is>
      </c>
      <c r="P23" s="28" t="n"/>
      <c r="Q23" s="28" t="n"/>
      <c r="R23" s="28" t="n"/>
      <c r="S23" s="28" t="n"/>
      <c r="T23" s="28" t="inlineStr">
        <is>
          <t>Ready</t>
        </is>
      </c>
      <c r="U23" s="28" t="inlineStr">
        <is>
          <t>target: engagement rate &gt;= 3% and CTR &gt;= 0.5% (hypothesis, unmeasured)</t>
        </is>
      </c>
      <c r="V23" s="29">
        <f>IF(A23="","",IF(COUNTIF($A$5:$A$154,A23)&gt;1,"DUPLICATE","UNIQUE"))</f>
        <v/>
      </c>
      <c r="W23" s="29">
        <f>IF(A23="","",IF(T23="Rejected","REJECTED",IF(AND(B23&lt;&gt;"",C23&lt;&gt;"",D23&lt;&gt;"",E23&lt;&gt;"",F23&lt;&gt;"",G23&lt;&gt;"",H23&lt;&gt;"",I23&lt;&gt;"",J23&lt;&gt;"",M23&lt;&gt;"",O23&lt;&gt;"",T23&lt;&gt;""),"COMPLETE","MISSING FIELDS")))</f>
        <v/>
      </c>
    </row>
    <row r="24" ht="15" customHeight="1" s="15">
      <c r="A24" s="28" t="inlineStr">
        <is>
          <t>EORC57-V08</t>
        </is>
      </c>
      <c r="B24" s="28" t="inlineStr">
        <is>
          <t>X</t>
        </is>
      </c>
      <c r="C24" s="28" t="inlineStr">
        <is>
          <t>Short video</t>
        </is>
      </c>
      <c r="D24" s="28" t="inlineStr">
        <is>
          <t>Hooks and openings</t>
        </is>
      </c>
      <c r="E24" s="28" t="inlineStr">
        <is>
          <t>Start on the sentence that makes your guest lean forward.</t>
        </is>
      </c>
      <c r="F24" s="28" t="inlineStr">
        <is>
          <t>Start on the sentence that makes your guest lean forward.
If a slide needs a paragraph, it is two slides.
The last slide should tell people what to do next.
Which one will you try first?
https://incubrix.com/?utm_source=x&amp;utm_medium=organic_social&amp;utm_campaign=creator_engine_q4_2026&amp;utm_content=EORC57-V08&amp;utm_term=hooks
#videohooks #contentstrategy</t>
        </is>
      </c>
      <c r="G24" s="28" t="inlineStr">
        <is>
          <t>Which one will you try first?</t>
        </is>
      </c>
      <c r="H24" s="28" t="inlineStr">
        <is>
          <t>https://incubrix.com/?utm_source=x&amp;utm_medium=organic_social&amp;utm_campaign=creator_engine_q4_2026&amp;utm_content=EORC57-V08&amp;utm_term=hooks</t>
        </is>
      </c>
      <c r="I24" s="28" t="inlineStr">
        <is>
          <t>2_Main_Output/assets/EORC57-V08/final.mp4</t>
        </is>
      </c>
      <c r="J24" s="28" t="inlineStr">
        <is>
          <t>2_Main_Output/assets/EORC57-V08/spec.json</t>
        </is>
      </c>
      <c r="K24" s="28" t="inlineStr">
        <is>
          <t>episode_one_recording_a_week_of_content.md</t>
        </is>
      </c>
      <c r="L24" s="28" t="inlineStr">
        <is>
          <t>IncuBrix content engine (Python, Pillow, ffmpeg); Inter font (SIL OFL)</t>
        </is>
      </c>
      <c r="M24" s="28" t="inlineStr">
        <is>
          <t>Yes</t>
        </is>
      </c>
      <c r="N24" s="28" t="inlineStr">
        <is>
          <t>No</t>
        </is>
      </c>
      <c r="O24" s="28" t="inlineStr">
        <is>
          <t>2026-11-05 14:00</t>
        </is>
      </c>
      <c r="P24" s="28" t="n"/>
      <c r="Q24" s="28" t="n"/>
      <c r="R24" s="28" t="n"/>
      <c r="S24" s="28" t="n"/>
      <c r="T24" s="28" t="inlineStr">
        <is>
          <t>Ready</t>
        </is>
      </c>
      <c r="U24" s="28" t="inlineStr">
        <is>
          <t>target: engagement rate &gt;= 3% and CTR &gt;= 0.5% (hypothesis, unmeasured)</t>
        </is>
      </c>
      <c r="V24" s="29">
        <f>IF(A24="","",IF(COUNTIF($A$5:$A$154,A24)&gt;1,"DUPLICATE","UNIQUE"))</f>
        <v/>
      </c>
      <c r="W24" s="29">
        <f>IF(A24="","",IF(T24="Rejected","REJECTED",IF(AND(B24&lt;&gt;"",C24&lt;&gt;"",D24&lt;&gt;"",E24&lt;&gt;"",F24&lt;&gt;"",G24&lt;&gt;"",H24&lt;&gt;"",I24&lt;&gt;"",J24&lt;&gt;"",M24&lt;&gt;"",O24&lt;&gt;"",T24&lt;&gt;""),"COMPLETE","MISSING FIELDS")))</f>
        <v/>
      </c>
    </row>
    <row r="25" ht="15" customHeight="1" s="15">
      <c r="A25" s="28" t="inlineStr">
        <is>
          <t>ETH2D2-C01</t>
        </is>
      </c>
      <c r="B25" s="28" t="inlineStr">
        <is>
          <t>LinkedIn</t>
        </is>
      </c>
      <c r="C25" s="28" t="inlineStr">
        <is>
          <t>Carousel</t>
        </is>
      </c>
      <c r="D25" s="28" t="inlineStr">
        <is>
          <t>Hooks and openings</t>
        </is>
      </c>
      <c r="E25" s="28" t="inlineStr">
        <is>
          <t>A number tells people how long the idea will take.</t>
        </is>
      </c>
      <c r="F25" s="28" t="inlineStr">
        <is>
          <t>A number tells people how long the idea will take.
If you change the hook and the thumbnail together, you will not know which one worked.
Compare posts of the same format only.
Save this for your next recording.
https://incubrix.com/?utm_source=linkedin&amp;utm_medium=organic_social&amp;utm_campaign=creator_engine_q4_2026&amp;utm_content=ETH2D2-C01&amp;utm_term=hooks
#videohooks #contentstrategy #shortformvideo</t>
        </is>
      </c>
      <c r="G25" s="28" t="inlineStr">
        <is>
          <t>Save this for your next recording.</t>
        </is>
      </c>
      <c r="H25" s="28" t="inlineStr">
        <is>
          <t>https://incubrix.com/?utm_source=linkedin&amp;utm_medium=organic_social&amp;utm_campaign=creator_engine_q4_2026&amp;utm_content=ETH2D2-C01&amp;utm_term=hooks</t>
        </is>
      </c>
      <c r="I25" s="28" t="inlineStr">
        <is>
          <t>2_Main_Output/assets/ETH2D2-C01/carousel.pdf</t>
        </is>
      </c>
      <c r="J25" s="28" t="inlineStr">
        <is>
          <t>2_Main_Output/assets/ETH2D2-C01/spec.json</t>
        </is>
      </c>
      <c r="K25" s="28" t="inlineStr">
        <is>
          <t>episode_two_hooks_and_captions.md</t>
        </is>
      </c>
      <c r="L25" s="28" t="inlineStr">
        <is>
          <t>IncuBrix content engine (Python, Pillow); Inter font (SIL OFL)</t>
        </is>
      </c>
      <c r="M25" s="28" t="inlineStr">
        <is>
          <t>Yes</t>
        </is>
      </c>
      <c r="N25" s="28" t="inlineStr">
        <is>
          <t>No</t>
        </is>
      </c>
      <c r="O25" s="28" t="inlineStr">
        <is>
          <t>2026-11-09 13:30</t>
        </is>
      </c>
      <c r="P25" s="28" t="n"/>
      <c r="Q25" s="28" t="n"/>
      <c r="R25" s="28" t="n"/>
      <c r="S25" s="28" t="n"/>
      <c r="T25" s="28" t="inlineStr">
        <is>
          <t>Ready</t>
        </is>
      </c>
      <c r="U25" s="28" t="inlineStr">
        <is>
          <t>target: engagement rate &gt;= 3% and CTR &gt;= 0.5% (hypothesis, unmeasured)</t>
        </is>
      </c>
      <c r="V25" s="29">
        <f>IF(A25="","",IF(COUNTIF($A$5:$A$154,A25)&gt;1,"DUPLICATE","UNIQUE"))</f>
        <v/>
      </c>
      <c r="W25" s="29">
        <f>IF(A25="","",IF(T25="Rejected","REJECTED",IF(AND(B25&lt;&gt;"",C25&lt;&gt;"",D25&lt;&gt;"",E25&lt;&gt;"",F25&lt;&gt;"",G25&lt;&gt;"",H25&lt;&gt;"",I25&lt;&gt;"",J25&lt;&gt;"",M25&lt;&gt;"",O25&lt;&gt;"",T25&lt;&gt;""),"COMPLETE","MISSING FIELDS")))</f>
        <v/>
      </c>
    </row>
    <row r="26" ht="15" customHeight="1" s="15">
      <c r="A26" s="28" t="inlineStr">
        <is>
          <t>ETH2D2-C02</t>
        </is>
      </c>
      <c r="B26" s="28" t="inlineStr">
        <is>
          <t>Instagram</t>
        </is>
      </c>
      <c r="C26" s="28" t="inlineStr">
        <is>
          <t>Carousel</t>
        </is>
      </c>
      <c r="D26" s="28" t="inlineStr">
        <is>
          <t>Hooks and openings</t>
        </is>
      </c>
      <c r="E26" s="28" t="inlineStr">
        <is>
          <t>Lead with the problem your viewer already has.</t>
        </is>
      </c>
      <c r="F26" s="28" t="inlineStr">
        <is>
          <t>Lead with the problem your viewer already has.
The first version is usually a description.
The third version is usually a promise.
Save this for your next recording.
https://incubrix.com/?utm_source=instagram&amp;utm_medium=organic_social&amp;utm_campaign=creator_engine_q4_2026&amp;utm_content=ETH2D2-C02&amp;utm_term=hooks
#videohooks #contentstrategy #shortformvideo</t>
        </is>
      </c>
      <c r="G26" s="28" t="inlineStr">
        <is>
          <t>Save this for your next recording.</t>
        </is>
      </c>
      <c r="H26" s="28" t="inlineStr">
        <is>
          <t>https://incubrix.com/?utm_source=instagram&amp;utm_medium=organic_social&amp;utm_campaign=creator_engine_q4_2026&amp;utm_content=ETH2D2-C02&amp;utm_term=hooks</t>
        </is>
      </c>
      <c r="I26" s="28" t="inlineStr">
        <is>
          <t>2_Main_Output/assets/ETH2D2-C02/carousel.pdf</t>
        </is>
      </c>
      <c r="J26" s="28" t="inlineStr">
        <is>
          <t>2_Main_Output/assets/ETH2D2-C02/spec.json</t>
        </is>
      </c>
      <c r="K26" s="28" t="inlineStr">
        <is>
          <t>episode_two_hooks_and_captions.md</t>
        </is>
      </c>
      <c r="L26" s="28" t="inlineStr">
        <is>
          <t>IncuBrix content engine (Python, Pillow); Inter font (SIL OFL)</t>
        </is>
      </c>
      <c r="M26" s="28" t="inlineStr">
        <is>
          <t>Yes</t>
        </is>
      </c>
      <c r="N26" s="28" t="inlineStr">
        <is>
          <t>No</t>
        </is>
      </c>
      <c r="O26" s="28" t="inlineStr">
        <is>
          <t>2026-11-09 17:00</t>
        </is>
      </c>
      <c r="P26" s="28" t="n"/>
      <c r="Q26" s="28" t="n"/>
      <c r="R26" s="28" t="n"/>
      <c r="S26" s="28" t="n"/>
      <c r="T26" s="28" t="inlineStr">
        <is>
          <t>Ready</t>
        </is>
      </c>
      <c r="U26" s="28" t="inlineStr">
        <is>
          <t>target: engagement rate &gt;= 3% and CTR &gt;= 0.5% (hypothesis, unmeasured)</t>
        </is>
      </c>
      <c r="V26" s="29">
        <f>IF(A26="","",IF(COUNTIF($A$5:$A$154,A26)&gt;1,"DUPLICATE","UNIQUE"))</f>
        <v/>
      </c>
      <c r="W26" s="29">
        <f>IF(A26="","",IF(T26="Rejected","REJECTED",IF(AND(B26&lt;&gt;"",C26&lt;&gt;"",D26&lt;&gt;"",E26&lt;&gt;"",F26&lt;&gt;"",G26&lt;&gt;"",H26&lt;&gt;"",I26&lt;&gt;"",J26&lt;&gt;"",M26&lt;&gt;"",O26&lt;&gt;"",T26&lt;&gt;""),"COMPLETE","MISSING FIELDS")))</f>
        <v/>
      </c>
    </row>
    <row r="27" ht="15" customHeight="1" s="15">
      <c r="A27" s="28" t="inlineStr">
        <is>
          <t>ETH2D2-C03</t>
        </is>
      </c>
      <c r="B27" s="28" t="inlineStr">
        <is>
          <t>LinkedIn</t>
        </is>
      </c>
      <c r="C27" s="28" t="inlineStr">
        <is>
          <t>Carousel</t>
        </is>
      </c>
      <c r="D27" s="28" t="inlineStr">
        <is>
          <t>Captions and editing craft</t>
        </is>
      </c>
      <c r="E27" s="28" t="inlineStr">
        <is>
          <t>Use plain words instead of jargon.</t>
        </is>
      </c>
      <c r="F27" s="28" t="inlineStr">
        <is>
          <t>Use plain words instead of jargon.
If the promise is vague, the viewer leaves.
If the promise is specific, the viewer stays to see it kept.
Try this on your next episode and compare.
https://incubrix.com/?utm_source=linkedin&amp;utm_medium=organic_social&amp;utm_campaign=creator_engine_q4_2026&amp;utm_content=ETH2D2-C03&amp;utm_term=craft
#videoediting #captions #contentcreator</t>
        </is>
      </c>
      <c r="G27" s="28" t="inlineStr">
        <is>
          <t>Try this on your next episode and compare.</t>
        </is>
      </c>
      <c r="H27" s="28" t="inlineStr">
        <is>
          <t>https://incubrix.com/?utm_source=linkedin&amp;utm_medium=organic_social&amp;utm_campaign=creator_engine_q4_2026&amp;utm_content=ETH2D2-C03&amp;utm_term=craft</t>
        </is>
      </c>
      <c r="I27" s="28" t="inlineStr">
        <is>
          <t>2_Main_Output/assets/ETH2D2-C03/carousel.pdf</t>
        </is>
      </c>
      <c r="J27" s="28" t="inlineStr">
        <is>
          <t>2_Main_Output/assets/ETH2D2-C03/spec.json</t>
        </is>
      </c>
      <c r="K27" s="28" t="inlineStr">
        <is>
          <t>episode_two_hooks_and_captions.md</t>
        </is>
      </c>
      <c r="L27" s="28" t="inlineStr">
        <is>
          <t>IncuBrix content engine (Python, Pillow); Inter font (SIL OFL)</t>
        </is>
      </c>
      <c r="M27" s="28" t="inlineStr">
        <is>
          <t>Yes</t>
        </is>
      </c>
      <c r="N27" s="28" t="inlineStr">
        <is>
          <t>No</t>
        </is>
      </c>
      <c r="O27" s="28" t="inlineStr">
        <is>
          <t>2026-11-10 13:30</t>
        </is>
      </c>
      <c r="P27" s="28" t="n"/>
      <c r="Q27" s="28" t="n"/>
      <c r="R27" s="28" t="n"/>
      <c r="S27" s="28" t="n"/>
      <c r="T27" s="28" t="inlineStr">
        <is>
          <t>Ready</t>
        </is>
      </c>
      <c r="U27" s="28" t="inlineStr">
        <is>
          <t>target: engagement rate &gt;= 3% and CTR &gt;= 0.5% (hypothesis, unmeasured)</t>
        </is>
      </c>
      <c r="V27" s="29">
        <f>IF(A27="","",IF(COUNTIF($A$5:$A$154,A27)&gt;1,"DUPLICATE","UNIQUE"))</f>
        <v/>
      </c>
      <c r="W27" s="29">
        <f>IF(A27="","",IF(T27="Rejected","REJECTED",IF(AND(B27&lt;&gt;"",C27&lt;&gt;"",D27&lt;&gt;"",E27&lt;&gt;"",F27&lt;&gt;"",G27&lt;&gt;"",H27&lt;&gt;"",I27&lt;&gt;"",J27&lt;&gt;"",M27&lt;&gt;"",O27&lt;&gt;"",T27&lt;&gt;""),"COMPLETE","MISSING FIELDS")))</f>
        <v/>
      </c>
    </row>
    <row r="28" ht="15" customHeight="1" s="15">
      <c r="A28" s="28" t="inlineStr">
        <is>
          <t>ETH2D2-C04</t>
        </is>
      </c>
      <c r="B28" s="28" t="inlineStr">
        <is>
          <t>Instagram</t>
        </is>
      </c>
      <c r="C28" s="28" t="inlineStr">
        <is>
          <t>Carousel</t>
        </is>
      </c>
      <c r="D28" s="28" t="inlineStr">
        <is>
          <t>Creator workflow</t>
        </is>
      </c>
      <c r="E28" s="28" t="inlineStr">
        <is>
          <t>Compare posts of the same format only.</t>
        </is>
      </c>
      <c r="F28" s="28" t="inlineStr">
        <is>
          <t>Compare posts of the same format only.
A number tells people how long the idea will take.
Never promise something the clip does not deliver.
Pick one idea and ship it this week.
https://incubrix.com/?utm_source=instagram&amp;utm_medium=organic_social&amp;utm_campaign=creator_engine_q4_2026&amp;utm_content=ETH2D2-C04&amp;utm_term=workflow
#creatorworkflow #contentcreator #productivity</t>
        </is>
      </c>
      <c r="G28" s="28" t="inlineStr">
        <is>
          <t>Pick one idea and ship it this week.</t>
        </is>
      </c>
      <c r="H28" s="28" t="inlineStr">
        <is>
          <t>https://incubrix.com/?utm_source=instagram&amp;utm_medium=organic_social&amp;utm_campaign=creator_engine_q4_2026&amp;utm_content=ETH2D2-C04&amp;utm_term=workflow</t>
        </is>
      </c>
      <c r="I28" s="28" t="inlineStr">
        <is>
          <t>2_Main_Output/assets/ETH2D2-C04/carousel.pdf</t>
        </is>
      </c>
      <c r="J28" s="28" t="inlineStr">
        <is>
          <t>2_Main_Output/assets/ETH2D2-C04/spec.json</t>
        </is>
      </c>
      <c r="K28" s="28" t="inlineStr">
        <is>
          <t>episode_two_hooks_and_captions.md</t>
        </is>
      </c>
      <c r="L28" s="28" t="inlineStr">
        <is>
          <t>IncuBrix content engine (Python, Pillow); Inter font (SIL OFL)</t>
        </is>
      </c>
      <c r="M28" s="28" t="inlineStr">
        <is>
          <t>Yes</t>
        </is>
      </c>
      <c r="N28" s="28" t="inlineStr">
        <is>
          <t>No</t>
        </is>
      </c>
      <c r="O28" s="28" t="inlineStr">
        <is>
          <t>2026-11-09 17:00</t>
        </is>
      </c>
      <c r="P28" s="28" t="n"/>
      <c r="Q28" s="28" t="n"/>
      <c r="R28" s="28" t="n"/>
      <c r="S28" s="28" t="n"/>
      <c r="T28" s="28" t="inlineStr">
        <is>
          <t>Ready</t>
        </is>
      </c>
      <c r="U28" s="28" t="inlineStr">
        <is>
          <t>target: engagement rate &gt;= 3% and CTR &gt;= 0.5% (hypothesis, unmeasured)</t>
        </is>
      </c>
      <c r="V28" s="29">
        <f>IF(A28="","",IF(COUNTIF($A$5:$A$154,A28)&gt;1,"DUPLICATE","UNIQUE"))</f>
        <v/>
      </c>
      <c r="W28" s="29">
        <f>IF(A28="","",IF(T28="Rejected","REJECTED",IF(AND(B28&lt;&gt;"",C28&lt;&gt;"",D28&lt;&gt;"",E28&lt;&gt;"",F28&lt;&gt;"",G28&lt;&gt;"",H28&lt;&gt;"",I28&lt;&gt;"",J28&lt;&gt;"",M28&lt;&gt;"",O28&lt;&gt;"",T28&lt;&gt;""),"COMPLETE","MISSING FIELDS")))</f>
        <v/>
      </c>
    </row>
    <row r="29" ht="15" customHeight="1" s="15">
      <c r="A29" s="28" t="inlineStr">
        <is>
          <t>ETH2D2-G01</t>
        </is>
      </c>
      <c r="B29" s="28" t="inlineStr">
        <is>
          <t>LinkedIn</t>
        </is>
      </c>
      <c r="C29" s="28" t="inlineStr">
        <is>
          <t>Graphic</t>
        </is>
      </c>
      <c r="D29" s="28" t="inlineStr">
        <is>
          <t>Captions and editing craft</t>
        </is>
      </c>
      <c r="E29" s="28" t="inlineStr">
        <is>
          <t>Start the written caption with the benefit.</t>
        </is>
      </c>
      <c r="F29" s="28" t="inlineStr">
        <is>
          <t>Start the written caption with the benefit.
Your solution only matters after they feel understood.
Try this on your next episode and compare.
https://incubrix.com/?utm_source=linkedin&amp;utm_medium=organic_social&amp;utm_campaign=creator_engine_q4_2026&amp;utm_content=ETH2D2-G01&amp;utm_term=craft
#videoediting #captions #contentcreator</t>
        </is>
      </c>
      <c r="G29" s="28" t="inlineStr">
        <is>
          <t>Try this on your next episode and compare.</t>
        </is>
      </c>
      <c r="H29" s="28" t="inlineStr">
        <is>
          <t>https://incubrix.com/?utm_source=linkedin&amp;utm_medium=organic_social&amp;utm_campaign=creator_engine_q4_2026&amp;utm_content=ETH2D2-G01&amp;utm_term=craft</t>
        </is>
      </c>
      <c r="I29" s="28" t="inlineStr">
        <is>
          <t>2_Main_Output/assets/ETH2D2-G01/final.png</t>
        </is>
      </c>
      <c r="J29" s="28" t="inlineStr">
        <is>
          <t>2_Main_Output/assets/ETH2D2-G01/spec.json</t>
        </is>
      </c>
      <c r="K29" s="28" t="inlineStr">
        <is>
          <t>episode_two_hooks_and_captions.md</t>
        </is>
      </c>
      <c r="L29" s="28" t="inlineStr">
        <is>
          <t>IncuBrix content engine (Python, Pillow); Inter font (SIL OFL)</t>
        </is>
      </c>
      <c r="M29" s="28" t="inlineStr">
        <is>
          <t>Yes</t>
        </is>
      </c>
      <c r="N29" s="28" t="inlineStr">
        <is>
          <t>No</t>
        </is>
      </c>
      <c r="O29" s="28" t="inlineStr">
        <is>
          <t>2026-11-11 13:30</t>
        </is>
      </c>
      <c r="P29" s="28" t="n"/>
      <c r="Q29" s="28" t="n"/>
      <c r="R29" s="28" t="n"/>
      <c r="S29" s="28" t="n"/>
      <c r="T29" s="28" t="inlineStr">
        <is>
          <t>Ready</t>
        </is>
      </c>
      <c r="U29" s="28" t="inlineStr">
        <is>
          <t>target: engagement rate &gt;= 3% and CTR &gt;= 0.5% (hypothesis, unmeasured)</t>
        </is>
      </c>
      <c r="V29" s="29">
        <f>IF(A29="","",IF(COUNTIF($A$5:$A$154,A29)&gt;1,"DUPLICATE","UNIQUE"))</f>
        <v/>
      </c>
      <c r="W29" s="29">
        <f>IF(A29="","",IF(T29="Rejected","REJECTED",IF(AND(B29&lt;&gt;"",C29&lt;&gt;"",D29&lt;&gt;"",E29&lt;&gt;"",F29&lt;&gt;"",G29&lt;&gt;"",H29&lt;&gt;"",I29&lt;&gt;"",J29&lt;&gt;"",M29&lt;&gt;"",O29&lt;&gt;"",T29&lt;&gt;""),"COMPLETE","MISSING FIELDS")))</f>
        <v/>
      </c>
    </row>
    <row r="30" ht="15" customHeight="1" s="15">
      <c r="A30" s="28" t="inlineStr">
        <is>
          <t>ETH2D2-G02</t>
        </is>
      </c>
      <c r="B30" s="28" t="inlineStr">
        <is>
          <t>Instagram</t>
        </is>
      </c>
      <c r="C30" s="28" t="inlineStr">
        <is>
          <t>Graphic</t>
        </is>
      </c>
      <c r="D30" s="28" t="inlineStr">
        <is>
          <t>Captions and editing craft</t>
        </is>
      </c>
      <c r="E30" s="28" t="inlineStr">
        <is>
          <t>Read your caption out loud before you post.</t>
        </is>
      </c>
      <c r="F30" s="28" t="inlineStr">
        <is>
          <t>Read your caption out loud before you post.
Show the result before the method.
Try this on your next episode and compare.
https://incubrix.com/?utm_source=instagram&amp;utm_medium=organic_social&amp;utm_campaign=creator_engine_q4_2026&amp;utm_content=ETH2D2-G02&amp;utm_term=craft
#videoediting #captions #contentcreator</t>
        </is>
      </c>
      <c r="G30" s="28" t="inlineStr">
        <is>
          <t>Try this on your next episode and compare.</t>
        </is>
      </c>
      <c r="H30" s="28" t="inlineStr">
        <is>
          <t>https://incubrix.com/?utm_source=instagram&amp;utm_medium=organic_social&amp;utm_campaign=creator_engine_q4_2026&amp;utm_content=ETH2D2-G02&amp;utm_term=craft</t>
        </is>
      </c>
      <c r="I30" s="28" t="inlineStr">
        <is>
          <t>2_Main_Output/assets/ETH2D2-G02/final.png</t>
        </is>
      </c>
      <c r="J30" s="28" t="inlineStr">
        <is>
          <t>2_Main_Output/assets/ETH2D2-G02/spec.json</t>
        </is>
      </c>
      <c r="K30" s="28" t="inlineStr">
        <is>
          <t>episode_two_hooks_and_captions.md</t>
        </is>
      </c>
      <c r="L30" s="28" t="inlineStr">
        <is>
          <t>IncuBrix content engine (Python, Pillow); Inter font (SIL OFL)</t>
        </is>
      </c>
      <c r="M30" s="28" t="inlineStr">
        <is>
          <t>Yes</t>
        </is>
      </c>
      <c r="N30" s="28" t="inlineStr">
        <is>
          <t>No</t>
        </is>
      </c>
      <c r="O30" s="28" t="inlineStr">
        <is>
          <t>2026-11-09 17:00</t>
        </is>
      </c>
      <c r="P30" s="28" t="n"/>
      <c r="Q30" s="28" t="n"/>
      <c r="R30" s="28" t="n"/>
      <c r="S30" s="28" t="n"/>
      <c r="T30" s="28" t="inlineStr">
        <is>
          <t>Ready</t>
        </is>
      </c>
      <c r="U30" s="28" t="inlineStr">
        <is>
          <t>target: engagement rate &gt;= 3% and CTR &gt;= 0.5% (hypothesis, unmeasured)</t>
        </is>
      </c>
      <c r="V30" s="29">
        <f>IF(A30="","",IF(COUNTIF($A$5:$A$154,A30)&gt;1,"DUPLICATE","UNIQUE"))</f>
        <v/>
      </c>
      <c r="W30" s="29">
        <f>IF(A30="","",IF(T30="Rejected","REJECTED",IF(AND(B30&lt;&gt;"",C30&lt;&gt;"",D30&lt;&gt;"",E30&lt;&gt;"",F30&lt;&gt;"",G30&lt;&gt;"",H30&lt;&gt;"",I30&lt;&gt;"",J30&lt;&gt;"",M30&lt;&gt;"",O30&lt;&gt;"",T30&lt;&gt;""),"COMPLETE","MISSING FIELDS")))</f>
        <v/>
      </c>
    </row>
    <row r="31" ht="15" customHeight="1" s="15">
      <c r="A31" s="28" t="inlineStr">
        <is>
          <t>ETH2D2-G03</t>
        </is>
      </c>
      <c r="B31" s="28" t="inlineStr">
        <is>
          <t>X</t>
        </is>
      </c>
      <c r="C31" s="28" t="inlineStr">
        <is>
          <t>Graphic</t>
        </is>
      </c>
      <c r="D31" s="28" t="inlineStr">
        <is>
          <t>Hooks and openings</t>
        </is>
      </c>
      <c r="E31" s="28" t="inlineStr">
        <is>
          <t>Show the result before the method.</t>
        </is>
      </c>
      <c r="F31" s="28" t="inlineStr">
        <is>
          <t>Show the result before the method.
If you are teaching an edit, start with the finished clip.
Send this to the person who edits your content.
https://incubrix.com/?utm_source=x&amp;utm_medium=organic_social&amp;utm_campaign=creator_engine_q4_2026&amp;utm_content=ETH2D2-G03&amp;utm_term=hooks
#videohooks #contentstrategy</t>
        </is>
      </c>
      <c r="G31" s="28" t="inlineStr">
        <is>
          <t>Send this to the person who edits your content.</t>
        </is>
      </c>
      <c r="H31" s="28" t="inlineStr">
        <is>
          <t>https://incubrix.com/?utm_source=x&amp;utm_medium=organic_social&amp;utm_campaign=creator_engine_q4_2026&amp;utm_content=ETH2D2-G03&amp;utm_term=hooks</t>
        </is>
      </c>
      <c r="I31" s="28" t="inlineStr">
        <is>
          <t>2_Main_Output/assets/ETH2D2-G03/final.png</t>
        </is>
      </c>
      <c r="J31" s="28" t="inlineStr">
        <is>
          <t>2_Main_Output/assets/ETH2D2-G03/spec.json</t>
        </is>
      </c>
      <c r="K31" s="28" t="inlineStr">
        <is>
          <t>episode_two_hooks_and_captions.md</t>
        </is>
      </c>
      <c r="L31" s="28" t="inlineStr">
        <is>
          <t>IncuBrix content engine (Python, Pillow); Inter font (SIL OFL)</t>
        </is>
      </c>
      <c r="M31" s="28" t="inlineStr">
        <is>
          <t>Yes</t>
        </is>
      </c>
      <c r="N31" s="28" t="inlineStr">
        <is>
          <t>No</t>
        </is>
      </c>
      <c r="O31" s="28" t="inlineStr">
        <is>
          <t>2026-11-06 14:00</t>
        </is>
      </c>
      <c r="P31" s="28" t="n"/>
      <c r="Q31" s="28" t="n"/>
      <c r="R31" s="28" t="n"/>
      <c r="S31" s="28" t="n"/>
      <c r="T31" s="28" t="inlineStr">
        <is>
          <t>Ready</t>
        </is>
      </c>
      <c r="U31" s="28" t="inlineStr">
        <is>
          <t>target: engagement rate &gt;= 3% and CTR &gt;= 0.5% (hypothesis, unmeasured)</t>
        </is>
      </c>
      <c r="V31" s="29">
        <f>IF(A31="","",IF(COUNTIF($A$5:$A$154,A31)&gt;1,"DUPLICATE","UNIQUE"))</f>
        <v/>
      </c>
      <c r="W31" s="29">
        <f>IF(A31="","",IF(T31="Rejected","REJECTED",IF(AND(B31&lt;&gt;"",C31&lt;&gt;"",D31&lt;&gt;"",E31&lt;&gt;"",F31&lt;&gt;"",G31&lt;&gt;"",H31&lt;&gt;"",I31&lt;&gt;"",J31&lt;&gt;"",M31&lt;&gt;"",O31&lt;&gt;"",T31&lt;&gt;""),"COMPLETE","MISSING FIELDS")))</f>
        <v/>
      </c>
    </row>
    <row r="32" ht="15" customHeight="1" s="15">
      <c r="A32" s="28" t="inlineStr">
        <is>
          <t>ETH2D2-G04</t>
        </is>
      </c>
      <c r="B32" s="28" t="inlineStr">
        <is>
          <t>Threads</t>
        </is>
      </c>
      <c r="C32" s="28" t="inlineStr">
        <is>
          <t>Graphic</t>
        </is>
      </c>
      <c r="D32" s="28" t="inlineStr">
        <is>
          <t>Hooks and openings</t>
        </is>
      </c>
      <c r="E32" s="28" t="inlineStr">
        <is>
          <t>Your solution only matters after they feel understood.</t>
        </is>
      </c>
      <c r="F32" s="28" t="inlineStr">
        <is>
          <t>Your solution only matters after they feel understood.
Most recordings start with a pause, a cough or a half sentence.
Save this for your next recording.
https://incubrix.com/?utm_source=threads&amp;utm_medium=organic_social&amp;utm_campaign=creator_engine_q4_2026&amp;utm_content=ETH2D2-G04&amp;utm_term=hooks
#videohooks</t>
        </is>
      </c>
      <c r="G32" s="28" t="inlineStr">
        <is>
          <t>Save this for your next recording.</t>
        </is>
      </c>
      <c r="H32" s="28" t="inlineStr">
        <is>
          <t>https://incubrix.com/?utm_source=threads&amp;utm_medium=organic_social&amp;utm_campaign=creator_engine_q4_2026&amp;utm_content=ETH2D2-G04&amp;utm_term=hooks</t>
        </is>
      </c>
      <c r="I32" s="28" t="inlineStr">
        <is>
          <t>2_Main_Output/assets/ETH2D2-G04/final.png</t>
        </is>
      </c>
      <c r="J32" s="28" t="inlineStr">
        <is>
          <t>2_Main_Output/assets/ETH2D2-G04/spec.json</t>
        </is>
      </c>
      <c r="K32" s="28" t="inlineStr">
        <is>
          <t>episode_two_hooks_and_captions.md</t>
        </is>
      </c>
      <c r="L32" s="28" t="inlineStr">
        <is>
          <t>IncuBrix content engine (Python, Pillow); Inter font (SIL OFL)</t>
        </is>
      </c>
      <c r="M32" s="28" t="inlineStr">
        <is>
          <t>Yes</t>
        </is>
      </c>
      <c r="N32" s="28" t="inlineStr">
        <is>
          <t>No</t>
        </is>
      </c>
      <c r="O32" s="28" t="inlineStr">
        <is>
          <t>2026-11-04 18:00</t>
        </is>
      </c>
      <c r="P32" s="28" t="n"/>
      <c r="Q32" s="28" t="n"/>
      <c r="R32" s="28" t="n"/>
      <c r="S32" s="28" t="n"/>
      <c r="T32" s="28" t="inlineStr">
        <is>
          <t>Ready</t>
        </is>
      </c>
      <c r="U32" s="28" t="inlineStr">
        <is>
          <t>target: engagement rate &gt;= 3% and CTR &gt;= 0.5% (hypothesis, unmeasured)</t>
        </is>
      </c>
      <c r="V32" s="29">
        <f>IF(A32="","",IF(COUNTIF($A$5:$A$154,A32)&gt;1,"DUPLICATE","UNIQUE"))</f>
        <v/>
      </c>
      <c r="W32" s="29">
        <f>IF(A32="","",IF(T32="Rejected","REJECTED",IF(AND(B32&lt;&gt;"",C32&lt;&gt;"",D32&lt;&gt;"",E32&lt;&gt;"",F32&lt;&gt;"",G32&lt;&gt;"",H32&lt;&gt;"",I32&lt;&gt;"",J32&lt;&gt;"",M32&lt;&gt;"",O32&lt;&gt;"",T32&lt;&gt;""),"COMPLETE","MISSING FIELDS")))</f>
        <v/>
      </c>
    </row>
    <row r="33" ht="15" customHeight="1" s="15">
      <c r="A33" s="28" t="inlineStr">
        <is>
          <t>ETH2D2-T01</t>
        </is>
      </c>
      <c r="B33" s="28" t="inlineStr">
        <is>
          <t>LinkedIn</t>
        </is>
      </c>
      <c r="C33" s="28" t="inlineStr">
        <is>
          <t>Text post</t>
        </is>
      </c>
      <c r="D33" s="28" t="inlineStr">
        <is>
          <t>Hooks and openings</t>
        </is>
      </c>
      <c r="E33" s="28" t="inlineStr">
        <is>
          <t>A hook is a promise made in two seconds.</t>
        </is>
      </c>
      <c r="F33" s="28" t="inlineStr">
        <is>
          <t>A hook is a promise made in two seconds.
Trim to the first word that matters.
Put the main words on screen in the first second.
Pick one idea and ship it this week.
https://incubrix.com/?utm_source=linkedin&amp;utm_medium=organic_social&amp;utm_campaign=creator_engine_q4_2026&amp;utm_content=ETH2D2-T01&amp;utm_term=hooks
#videohooks #contentstrategy #shortformvideo</t>
        </is>
      </c>
      <c r="G33" s="28" t="inlineStr">
        <is>
          <t>Pick one idea and ship it this week.</t>
        </is>
      </c>
      <c r="H33" s="28" t="inlineStr">
        <is>
          <t>https://incubrix.com/?utm_source=linkedin&amp;utm_medium=organic_social&amp;utm_campaign=creator_engine_q4_2026&amp;utm_content=ETH2D2-T01&amp;utm_term=hooks</t>
        </is>
      </c>
      <c r="I33" s="28" t="inlineStr">
        <is>
          <t>2_Main_Output/assets/ETH2D2-T01/final.txt</t>
        </is>
      </c>
      <c r="J33" s="28" t="inlineStr">
        <is>
          <t>2_Main_Output/assets/ETH2D2-T01/spec.json</t>
        </is>
      </c>
      <c r="K33" s="28" t="inlineStr">
        <is>
          <t>episode_two_hooks_and_captions.md</t>
        </is>
      </c>
      <c r="L33" s="28" t="inlineStr">
        <is>
          <t>IncuBrix content engine (Python)</t>
        </is>
      </c>
      <c r="M33" s="28" t="inlineStr">
        <is>
          <t>Yes</t>
        </is>
      </c>
      <c r="N33" s="28" t="inlineStr">
        <is>
          <t>No</t>
        </is>
      </c>
      <c r="O33" s="28" t="inlineStr">
        <is>
          <t>2026-11-12 13:30</t>
        </is>
      </c>
      <c r="P33" s="28" t="n"/>
      <c r="Q33" s="28" t="n"/>
      <c r="R33" s="28" t="n"/>
      <c r="S33" s="28" t="n"/>
      <c r="T33" s="28" t="inlineStr">
        <is>
          <t>Ready</t>
        </is>
      </c>
      <c r="U33" s="28" t="inlineStr">
        <is>
          <t>target: engagement rate &gt;= 3% and CTR &gt;= 0.5% (hypothesis, unmeasured)</t>
        </is>
      </c>
      <c r="V33" s="29">
        <f>IF(A33="","",IF(COUNTIF($A$5:$A$154,A33)&gt;1,"DUPLICATE","UNIQUE"))</f>
        <v/>
      </c>
      <c r="W33" s="29">
        <f>IF(A33="","",IF(T33="Rejected","REJECTED",IF(AND(B33&lt;&gt;"",C33&lt;&gt;"",D33&lt;&gt;"",E33&lt;&gt;"",F33&lt;&gt;"",G33&lt;&gt;"",H33&lt;&gt;"",I33&lt;&gt;"",J33&lt;&gt;"",M33&lt;&gt;"",O33&lt;&gt;"",T33&lt;&gt;""),"COMPLETE","MISSING FIELDS")))</f>
        <v/>
      </c>
    </row>
    <row r="34" ht="15" customHeight="1" s="15">
      <c r="A34" s="28" t="inlineStr">
        <is>
          <t>ETH2D2-T02</t>
        </is>
      </c>
      <c r="B34" s="28" t="inlineStr">
        <is>
          <t>X</t>
        </is>
      </c>
      <c r="C34" s="28" t="inlineStr">
        <is>
          <t>Text post</t>
        </is>
      </c>
      <c r="D34" s="28" t="inlineStr">
        <is>
          <t>Hooks and openings</t>
        </is>
      </c>
      <c r="E34" s="28" t="inlineStr">
        <is>
          <t>The third version is usually a promise.</t>
        </is>
      </c>
      <c r="F34" s="28" t="inlineStr">
        <is>
          <t>The third version is usually a promise.
A short line of text lets people understand the clip before the audio makes sense.
If a sentence does not fit, split it.
Pick one idea and ship it this week.
https://incubrix.com/?utm_source=x&amp;utm_medium=organic_social&amp;utm_campaign=creator_engine_q4_2026&amp;utm_content=ETH2D2-T02&amp;utm_term=hooks
#videohooks #contentstrategy</t>
        </is>
      </c>
      <c r="G34" s="28" t="inlineStr">
        <is>
          <t>Pick one idea and ship it this week.</t>
        </is>
      </c>
      <c r="H34" s="28" t="inlineStr">
        <is>
          <t>https://incubrix.com/?utm_source=x&amp;utm_medium=organic_social&amp;utm_campaign=creator_engine_q4_2026&amp;utm_content=ETH2D2-T02&amp;utm_term=hooks</t>
        </is>
      </c>
      <c r="I34" s="28" t="inlineStr">
        <is>
          <t>2_Main_Output/assets/ETH2D2-T02/final.txt</t>
        </is>
      </c>
      <c r="J34" s="28" t="inlineStr">
        <is>
          <t>2_Main_Output/assets/ETH2D2-T02/spec.json</t>
        </is>
      </c>
      <c r="K34" s="28" t="inlineStr">
        <is>
          <t>episode_two_hooks_and_captions.md</t>
        </is>
      </c>
      <c r="L34" s="28" t="inlineStr">
        <is>
          <t>IncuBrix content engine (Python)</t>
        </is>
      </c>
      <c r="M34" s="28" t="inlineStr">
        <is>
          <t>Yes</t>
        </is>
      </c>
      <c r="N34" s="28" t="inlineStr">
        <is>
          <t>No</t>
        </is>
      </c>
      <c r="O34" s="28" t="inlineStr">
        <is>
          <t>2026-11-09 14:00</t>
        </is>
      </c>
      <c r="P34" s="28" t="n"/>
      <c r="Q34" s="28" t="n"/>
      <c r="R34" s="28" t="n"/>
      <c r="S34" s="28" t="n"/>
      <c r="T34" s="28" t="inlineStr">
        <is>
          <t>Ready</t>
        </is>
      </c>
      <c r="U34" s="28" t="inlineStr">
        <is>
          <t>target: engagement rate &gt;= 3% and CTR &gt;= 0.5% (hypothesis, unmeasured)</t>
        </is>
      </c>
      <c r="V34" s="29">
        <f>IF(A34="","",IF(COUNTIF($A$5:$A$154,A34)&gt;1,"DUPLICATE","UNIQUE"))</f>
        <v/>
      </c>
      <c r="W34" s="29">
        <f>IF(A34="","",IF(T34="Rejected","REJECTED",IF(AND(B34&lt;&gt;"",C34&lt;&gt;"",D34&lt;&gt;"",E34&lt;&gt;"",F34&lt;&gt;"",G34&lt;&gt;"",H34&lt;&gt;"",I34&lt;&gt;"",J34&lt;&gt;"",M34&lt;&gt;"",O34&lt;&gt;"",T34&lt;&gt;""),"COMPLETE","MISSING FIELDS")))</f>
        <v/>
      </c>
    </row>
    <row r="35" ht="15" customHeight="1" s="15">
      <c r="A35" s="28" t="inlineStr">
        <is>
          <t>ETH2D2-T03</t>
        </is>
      </c>
      <c r="B35" s="28" t="inlineStr">
        <is>
          <t>Threads</t>
        </is>
      </c>
      <c r="C35" s="28" t="inlineStr">
        <is>
          <t>Text post</t>
        </is>
      </c>
      <c r="D35" s="28" t="inlineStr">
        <is>
          <t>Captions and editing craft</t>
        </is>
      </c>
      <c r="E35" s="28" t="inlineStr">
        <is>
          <t>Cut the first breath.</t>
        </is>
      </c>
      <c r="F35" s="28" t="inlineStr">
        <is>
          <t>Cut the first breath.
Buttons and descriptions cover the bottom of vertical video.
Read your caption out loud before you post.
Send this to the person who edits your content.
https://incubrix.com/?utm_source=threads&amp;utm_medium=organic_social&amp;utm_campaign=creator_engine_q4_2026&amp;utm_content=ETH2D2-T03&amp;utm_term=craft
#videoediting</t>
        </is>
      </c>
      <c r="G35" s="28" t="inlineStr">
        <is>
          <t>Send this to the person who edits your content.</t>
        </is>
      </c>
      <c r="H35" s="28" t="inlineStr">
        <is>
          <t>https://incubrix.com/?utm_source=threads&amp;utm_medium=organic_social&amp;utm_campaign=creator_engine_q4_2026&amp;utm_content=ETH2D2-T03&amp;utm_term=craft</t>
        </is>
      </c>
      <c r="I35" s="28" t="inlineStr">
        <is>
          <t>2_Main_Output/assets/ETH2D2-T03/final.txt</t>
        </is>
      </c>
      <c r="J35" s="28" t="inlineStr">
        <is>
          <t>2_Main_Output/assets/ETH2D2-T03/spec.json</t>
        </is>
      </c>
      <c r="K35" s="28" t="inlineStr">
        <is>
          <t>episode_two_hooks_and_captions.md</t>
        </is>
      </c>
      <c r="L35" s="28" t="inlineStr">
        <is>
          <t>IncuBrix content engine (Python)</t>
        </is>
      </c>
      <c r="M35" s="28" t="inlineStr">
        <is>
          <t>Yes</t>
        </is>
      </c>
      <c r="N35" s="28" t="inlineStr">
        <is>
          <t>No</t>
        </is>
      </c>
      <c r="O35" s="28" t="inlineStr">
        <is>
          <t>2026-11-05 18:00</t>
        </is>
      </c>
      <c r="P35" s="28" t="n"/>
      <c r="Q35" s="28" t="n"/>
      <c r="R35" s="28" t="n"/>
      <c r="S35" s="28" t="n"/>
      <c r="T35" s="28" t="inlineStr">
        <is>
          <t>Ready</t>
        </is>
      </c>
      <c r="U35" s="28" t="inlineStr">
        <is>
          <t>target: engagement rate &gt;= 3% and CTR &gt;= 0.5% (hypothesis, unmeasured)</t>
        </is>
      </c>
      <c r="V35" s="29">
        <f>IF(A35="","",IF(COUNTIF($A$5:$A$154,A35)&gt;1,"DUPLICATE","UNIQUE"))</f>
        <v/>
      </c>
      <c r="W35" s="29">
        <f>IF(A35="","",IF(T35="Rejected","REJECTED",IF(AND(B35&lt;&gt;"",C35&lt;&gt;"",D35&lt;&gt;"",E35&lt;&gt;"",F35&lt;&gt;"",G35&lt;&gt;"",H35&lt;&gt;"",I35&lt;&gt;"",J35&lt;&gt;"",M35&lt;&gt;"",O35&lt;&gt;"",T35&lt;&gt;""),"COMPLETE","MISSING FIELDS")))</f>
        <v/>
      </c>
    </row>
    <row r="36" ht="15" customHeight="1" s="15">
      <c r="A36" s="28" t="inlineStr">
        <is>
          <t>ETH2D2-T04</t>
        </is>
      </c>
      <c r="B36" s="28" t="inlineStr">
        <is>
          <t>LinkedIn</t>
        </is>
      </c>
      <c r="C36" s="28" t="inlineStr">
        <is>
          <t>Text post</t>
        </is>
      </c>
      <c r="D36" s="28" t="inlineStr">
        <is>
          <t>Captions and editing craft</t>
        </is>
      </c>
      <c r="E36" s="28" t="inlineStr">
        <is>
          <t>Ask a question people can answer in a few words.</t>
        </is>
      </c>
      <c r="F36" s="28" t="inlineStr">
        <is>
          <t>Ask a question people can answer in a few words.
If you stumble, your viewer will too.
Use plain words instead of jargon.
Which one will you try first?
https://incubrix.com/?utm_source=linkedin&amp;utm_medium=organic_social&amp;utm_campaign=creator_engine_q4_2026&amp;utm_content=ETH2D2-T04&amp;utm_term=craft
#videoediting #captions #contentcreator</t>
        </is>
      </c>
      <c r="G36" s="28" t="inlineStr">
        <is>
          <t>Which one will you try first?</t>
        </is>
      </c>
      <c r="H36" s="28" t="inlineStr">
        <is>
          <t>https://incubrix.com/?utm_source=linkedin&amp;utm_medium=organic_social&amp;utm_campaign=creator_engine_q4_2026&amp;utm_content=ETH2D2-T04&amp;utm_term=craft</t>
        </is>
      </c>
      <c r="I36" s="28" t="inlineStr">
        <is>
          <t>2_Main_Output/assets/ETH2D2-T04/final.txt</t>
        </is>
      </c>
      <c r="J36" s="28" t="inlineStr">
        <is>
          <t>2_Main_Output/assets/ETH2D2-T04/spec.json</t>
        </is>
      </c>
      <c r="K36" s="28" t="inlineStr">
        <is>
          <t>episode_two_hooks_and_captions.md</t>
        </is>
      </c>
      <c r="L36" s="28" t="inlineStr">
        <is>
          <t>IncuBrix content engine (Python)</t>
        </is>
      </c>
      <c r="M36" s="28" t="inlineStr">
        <is>
          <t>Yes</t>
        </is>
      </c>
      <c r="N36" s="28" t="inlineStr">
        <is>
          <t>No</t>
        </is>
      </c>
      <c r="O36" s="28" t="inlineStr">
        <is>
          <t>2026-11-13 13:30</t>
        </is>
      </c>
      <c r="P36" s="28" t="n"/>
      <c r="Q36" s="28" t="n"/>
      <c r="R36" s="28" t="n"/>
      <c r="S36" s="28" t="n"/>
      <c r="T36" s="28" t="inlineStr">
        <is>
          <t>Ready</t>
        </is>
      </c>
      <c r="U36" s="28" t="inlineStr">
        <is>
          <t>target: engagement rate &gt;= 3% and CTR &gt;= 0.5% (hypothesis, unmeasured)</t>
        </is>
      </c>
      <c r="V36" s="29">
        <f>IF(A36="","",IF(COUNTIF($A$5:$A$154,A36)&gt;1,"DUPLICATE","UNIQUE"))</f>
        <v/>
      </c>
      <c r="W36" s="29">
        <f>IF(A36="","",IF(T36="Rejected","REJECTED",IF(AND(B36&lt;&gt;"",C36&lt;&gt;"",D36&lt;&gt;"",E36&lt;&gt;"",F36&lt;&gt;"",G36&lt;&gt;"",H36&lt;&gt;"",I36&lt;&gt;"",J36&lt;&gt;"",M36&lt;&gt;"",O36&lt;&gt;"",T36&lt;&gt;""),"COMPLETE","MISSING FIELDS")))</f>
        <v/>
      </c>
    </row>
    <row r="37" ht="15" customHeight="1" s="15">
      <c r="A37" s="28" t="inlineStr">
        <is>
          <t>ETH2D2-V01</t>
        </is>
      </c>
      <c r="B37" s="28" t="inlineStr">
        <is>
          <t>Instagram</t>
        </is>
      </c>
      <c r="C37" s="28" t="inlineStr">
        <is>
          <t>Short video</t>
        </is>
      </c>
      <c r="D37" s="28" t="inlineStr">
        <is>
          <t>Captions and editing craft</t>
        </is>
      </c>
      <c r="E37" s="28" t="inlineStr">
        <is>
          <t>Most recordings start with a pause, a cough or a half sentence.</t>
        </is>
      </c>
      <c r="F37" s="28" t="inlineStr">
        <is>
          <t>Most recordings start with a pause, a cough or a half sentence.
A hook is a promise made in two seconds.
If the promise is vague, the viewer leaves.
Save this for your next recording.
https://incubrix.com/?utm_source=instagram&amp;utm_medium=organic_social&amp;utm_campaign=creator_engine_q4_2026&amp;utm_content=ETH2D2-V01&amp;utm_term=craft
#videoediting #captions #contentcreator</t>
        </is>
      </c>
      <c r="G37" s="28" t="inlineStr">
        <is>
          <t>Save this for your next recording.</t>
        </is>
      </c>
      <c r="H37" s="28" t="inlineStr">
        <is>
          <t>https://incubrix.com/?utm_source=instagram&amp;utm_medium=organic_social&amp;utm_campaign=creator_engine_q4_2026&amp;utm_content=ETH2D2-V01&amp;utm_term=craft</t>
        </is>
      </c>
      <c r="I37" s="28" t="inlineStr">
        <is>
          <t>2_Main_Output/assets/ETH2D2-V01/final.mp4</t>
        </is>
      </c>
      <c r="J37" s="28" t="inlineStr">
        <is>
          <t>2_Main_Output/assets/ETH2D2-V01/spec.json</t>
        </is>
      </c>
      <c r="K37" s="28" t="inlineStr">
        <is>
          <t>episode_two_hooks_and_captions.md</t>
        </is>
      </c>
      <c r="L37" s="28" t="inlineStr">
        <is>
          <t>IncuBrix content engine (Python, Pillow, ffmpeg); Inter font (SIL OFL)</t>
        </is>
      </c>
      <c r="M37" s="28" t="inlineStr">
        <is>
          <t>Yes</t>
        </is>
      </c>
      <c r="N37" s="28" t="inlineStr">
        <is>
          <t>No</t>
        </is>
      </c>
      <c r="O37" s="28" t="inlineStr">
        <is>
          <t>2026-11-10 17:00</t>
        </is>
      </c>
      <c r="P37" s="28" t="n"/>
      <c r="Q37" s="28" t="n"/>
      <c r="R37" s="28" t="n"/>
      <c r="S37" s="28" t="n"/>
      <c r="T37" s="28" t="inlineStr">
        <is>
          <t>Ready</t>
        </is>
      </c>
      <c r="U37" s="28" t="inlineStr">
        <is>
          <t>target: engagement rate &gt;= 3% and CTR &gt;= 0.5% (hypothesis, unmeasured)</t>
        </is>
      </c>
      <c r="V37" s="29">
        <f>IF(A37="","",IF(COUNTIF($A$5:$A$154,A37)&gt;1,"DUPLICATE","UNIQUE"))</f>
        <v/>
      </c>
      <c r="W37" s="29">
        <f>IF(A37="","",IF(T37="Rejected","REJECTED",IF(AND(B37&lt;&gt;"",C37&lt;&gt;"",D37&lt;&gt;"",E37&lt;&gt;"",F37&lt;&gt;"",G37&lt;&gt;"",H37&lt;&gt;"",I37&lt;&gt;"",J37&lt;&gt;"",M37&lt;&gt;"",O37&lt;&gt;"",T37&lt;&gt;""),"COMPLETE","MISSING FIELDS")))</f>
        <v/>
      </c>
    </row>
    <row r="38" ht="15" customHeight="1" s="15">
      <c r="A38" s="28" t="inlineStr">
        <is>
          <t>ETH2D2-V02</t>
        </is>
      </c>
      <c r="B38" s="28" t="inlineStr">
        <is>
          <t>YouTube Shorts</t>
        </is>
      </c>
      <c r="C38" s="28" t="inlineStr">
        <is>
          <t>Short video</t>
        </is>
      </c>
      <c r="D38" s="28" t="inlineStr">
        <is>
          <t>Hooks and openings</t>
        </is>
      </c>
      <c r="E38" s="28" t="inlineStr">
        <is>
          <t>A clip without a promise is just footage.</t>
        </is>
      </c>
      <c r="F38" s="28" t="inlineStr">
        <is>
          <t>A clip without a promise is just footage.
Write the hook before you edit the video.
If you cannot say the promise in one sentence, the clip is not ready.
Save this for your next recording.
https://incubrix.com/?utm_source=youtube_shorts&amp;utm_medium=organic_social&amp;utm_campaign=creator_engine_q4_2026&amp;utm_content=ETH2D2-V02&amp;utm_term=hooks
#videohooks #contentstrategy #shortformvideo</t>
        </is>
      </c>
      <c r="G38" s="28" t="inlineStr">
        <is>
          <t>Save this for your next recording.</t>
        </is>
      </c>
      <c r="H38" s="28" t="inlineStr">
        <is>
          <t>https://incubrix.com/?utm_source=youtube_shorts&amp;utm_medium=organic_social&amp;utm_campaign=creator_engine_q4_2026&amp;utm_content=ETH2D2-V02&amp;utm_term=hooks</t>
        </is>
      </c>
      <c r="I38" s="28" t="inlineStr">
        <is>
          <t>2_Main_Output/assets/ETH2D2-V02/final.mp4</t>
        </is>
      </c>
      <c r="J38" s="28" t="inlineStr">
        <is>
          <t>2_Main_Output/assets/ETH2D2-V02/spec.json</t>
        </is>
      </c>
      <c r="K38" s="28" t="inlineStr">
        <is>
          <t>episode_two_hooks_and_captions.md</t>
        </is>
      </c>
      <c r="L38" s="28" t="inlineStr">
        <is>
          <t>IncuBrix content engine (Python, Pillow, ffmpeg); Inter font (SIL OFL)</t>
        </is>
      </c>
      <c r="M38" s="28" t="inlineStr">
        <is>
          <t>Yes</t>
        </is>
      </c>
      <c r="N38" s="28" t="inlineStr">
        <is>
          <t>No</t>
        </is>
      </c>
      <c r="O38" s="28" t="inlineStr">
        <is>
          <t>2026-11-04 16:00</t>
        </is>
      </c>
      <c r="P38" s="28" t="n"/>
      <c r="Q38" s="28" t="n"/>
      <c r="R38" s="28" t="n"/>
      <c r="S38" s="28" t="n"/>
      <c r="T38" s="28" t="inlineStr">
        <is>
          <t>Ready</t>
        </is>
      </c>
      <c r="U38" s="28" t="inlineStr">
        <is>
          <t>target: engagement rate &gt;= 3% and CTR &gt;= 0.5% (hypothesis, unmeasured)</t>
        </is>
      </c>
      <c r="V38" s="29">
        <f>IF(A38="","",IF(COUNTIF($A$5:$A$154,A38)&gt;1,"DUPLICATE","UNIQUE"))</f>
        <v/>
      </c>
      <c r="W38" s="29">
        <f>IF(A38="","",IF(T38="Rejected","REJECTED",IF(AND(B38&lt;&gt;"",C38&lt;&gt;"",D38&lt;&gt;"",E38&lt;&gt;"",F38&lt;&gt;"",G38&lt;&gt;"",H38&lt;&gt;"",I38&lt;&gt;"",J38&lt;&gt;"",M38&lt;&gt;"",O38&lt;&gt;"",T38&lt;&gt;""),"COMPLETE","MISSING FIELDS")))</f>
        <v/>
      </c>
    </row>
    <row r="39" ht="15" customHeight="1" s="15">
      <c r="A39" s="28" t="inlineStr">
        <is>
          <t>ETH2D2-V03</t>
        </is>
      </c>
      <c r="B39" s="28" t="inlineStr">
        <is>
          <t>LinkedIn</t>
        </is>
      </c>
      <c r="C39" s="28" t="inlineStr">
        <is>
          <t>Short video</t>
        </is>
      </c>
      <c r="D39" s="28" t="inlineStr">
        <is>
          <t>Hooks and openings</t>
        </is>
      </c>
      <c r="E39" s="28" t="inlineStr">
        <is>
          <t>Never promise something the clip does not deliver.</t>
        </is>
      </c>
      <c r="F39" s="28" t="inlineStr">
        <is>
          <t>Never promise something the clip does not deliver.
A hook that overpromises gets a click and then a drop.
Lead with the problem your viewer already has.
Save this for your next recording.
https://incubrix.com/?utm_source=linkedin&amp;utm_medium=organic_social&amp;utm_campaign=creator_engine_q4_2026&amp;utm_content=ETH2D2-V03&amp;utm_term=hooks
#videohooks #contentstrategy #shortformvideo</t>
        </is>
      </c>
      <c r="G39" s="28" t="inlineStr">
        <is>
          <t>Save this for your next recording.</t>
        </is>
      </c>
      <c r="H39" s="28" t="inlineStr">
        <is>
          <t>https://incubrix.com/?utm_source=linkedin&amp;utm_medium=organic_social&amp;utm_campaign=creator_engine_q4_2026&amp;utm_content=ETH2D2-V03&amp;utm_term=hooks</t>
        </is>
      </c>
      <c r="I39" s="28" t="inlineStr">
        <is>
          <t>2_Main_Output/assets/ETH2D2-V03/final.mp4</t>
        </is>
      </c>
      <c r="J39" s="28" t="inlineStr">
        <is>
          <t>2_Main_Output/assets/ETH2D2-V03/spec.json</t>
        </is>
      </c>
      <c r="K39" s="28" t="inlineStr">
        <is>
          <t>episode_two_hooks_and_captions.md</t>
        </is>
      </c>
      <c r="L39" s="28" t="inlineStr">
        <is>
          <t>IncuBrix content engine (Python, Pillow, ffmpeg); Inter font (SIL OFL)</t>
        </is>
      </c>
      <c r="M39" s="28" t="inlineStr">
        <is>
          <t>Yes</t>
        </is>
      </c>
      <c r="N39" s="28" t="inlineStr">
        <is>
          <t>No</t>
        </is>
      </c>
      <c r="O39" s="28" t="inlineStr">
        <is>
          <t>2026-11-16 13:30</t>
        </is>
      </c>
      <c r="P39" s="28" t="n"/>
      <c r="Q39" s="28" t="n"/>
      <c r="R39" s="28" t="n"/>
      <c r="S39" s="28" t="n"/>
      <c r="T39" s="28" t="inlineStr">
        <is>
          <t>Ready</t>
        </is>
      </c>
      <c r="U39" s="28" t="inlineStr">
        <is>
          <t>target: engagement rate &gt;= 3% and CTR &gt;= 0.5% (hypothesis, unmeasured)</t>
        </is>
      </c>
      <c r="V39" s="29">
        <f>IF(A39="","",IF(COUNTIF($A$5:$A$154,A39)&gt;1,"DUPLICATE","UNIQUE"))</f>
        <v/>
      </c>
      <c r="W39" s="29">
        <f>IF(A39="","",IF(T39="Rejected","REJECTED",IF(AND(B39&lt;&gt;"",C39&lt;&gt;"",D39&lt;&gt;"",E39&lt;&gt;"",F39&lt;&gt;"",G39&lt;&gt;"",H39&lt;&gt;"",I39&lt;&gt;"",J39&lt;&gt;"",M39&lt;&gt;"",O39&lt;&gt;"",T39&lt;&gt;""),"COMPLETE","MISSING FIELDS")))</f>
        <v/>
      </c>
    </row>
    <row r="40" ht="15" customHeight="1" s="15">
      <c r="A40" s="28" t="inlineStr">
        <is>
          <t>ETH2D2-V04</t>
        </is>
      </c>
      <c r="B40" s="28" t="inlineStr">
        <is>
          <t>X</t>
        </is>
      </c>
      <c r="C40" s="28" t="inlineStr">
        <is>
          <t>Short video</t>
        </is>
      </c>
      <c r="D40" s="28" t="inlineStr">
        <is>
          <t>Hooks and openings</t>
        </is>
      </c>
      <c r="E40" s="28" t="inlineStr">
        <is>
          <t>People pay attention to their own frustrations first.</t>
        </is>
      </c>
      <c r="F40" s="28" t="inlineStr">
        <is>
          <t>People pay attention to their own frustrations first.
Your solution only matters after they feel understood.
Show the result before the method.
Try this on your next episode and compare.
https://incubrix.com/?utm_source=x&amp;utm_medium=organic_social&amp;utm_campaign=creator_engine_q4_2026&amp;utm_content=ETH2D2-V04&amp;utm_term=hooks
#videohooks #contentstrategy</t>
        </is>
      </c>
      <c r="G40" s="28" t="inlineStr">
        <is>
          <t>Try this on your next episode and compare.</t>
        </is>
      </c>
      <c r="H40" s="28" t="inlineStr">
        <is>
          <t>https://incubrix.com/?utm_source=x&amp;utm_medium=organic_social&amp;utm_campaign=creator_engine_q4_2026&amp;utm_content=ETH2D2-V04&amp;utm_term=hooks</t>
        </is>
      </c>
      <c r="I40" s="28" t="inlineStr">
        <is>
          <t>2_Main_Output/assets/ETH2D2-V04/final.mp4</t>
        </is>
      </c>
      <c r="J40" s="28" t="inlineStr">
        <is>
          <t>2_Main_Output/assets/ETH2D2-V04/spec.json</t>
        </is>
      </c>
      <c r="K40" s="28" t="inlineStr">
        <is>
          <t>episode_two_hooks_and_captions.md</t>
        </is>
      </c>
      <c r="L40" s="28" t="inlineStr">
        <is>
          <t>IncuBrix content engine (Python, Pillow, ffmpeg); Inter font (SIL OFL)</t>
        </is>
      </c>
      <c r="M40" s="28" t="inlineStr">
        <is>
          <t>Yes</t>
        </is>
      </c>
      <c r="N40" s="28" t="inlineStr">
        <is>
          <t>No</t>
        </is>
      </c>
      <c r="O40" s="28" t="inlineStr">
        <is>
          <t>2026-11-09 14:00</t>
        </is>
      </c>
      <c r="P40" s="28" t="n"/>
      <c r="Q40" s="28" t="n"/>
      <c r="R40" s="28" t="n"/>
      <c r="S40" s="28" t="n"/>
      <c r="T40" s="28" t="inlineStr">
        <is>
          <t>Ready</t>
        </is>
      </c>
      <c r="U40" s="28" t="inlineStr">
        <is>
          <t>target: engagement rate &gt;= 3% and CTR &gt;= 0.5% (hypothesis, unmeasured)</t>
        </is>
      </c>
      <c r="V40" s="29">
        <f>IF(A40="","",IF(COUNTIF($A$5:$A$154,A40)&gt;1,"DUPLICATE","UNIQUE"))</f>
        <v/>
      </c>
      <c r="W40" s="29">
        <f>IF(A40="","",IF(T40="Rejected","REJECTED",IF(AND(B40&lt;&gt;"",C40&lt;&gt;"",D40&lt;&gt;"",E40&lt;&gt;"",F40&lt;&gt;"",G40&lt;&gt;"",H40&lt;&gt;"",I40&lt;&gt;"",J40&lt;&gt;"",M40&lt;&gt;"",O40&lt;&gt;"",T40&lt;&gt;""),"COMPLETE","MISSING FIELDS")))</f>
        <v/>
      </c>
    </row>
    <row r="41" ht="15" customHeight="1" s="15">
      <c r="A41" s="28" t="inlineStr">
        <is>
          <t>ETH2D2-V05</t>
        </is>
      </c>
      <c r="B41" s="28" t="inlineStr">
        <is>
          <t>Instagram</t>
        </is>
      </c>
      <c r="C41" s="28" t="inlineStr">
        <is>
          <t>Short video</t>
        </is>
      </c>
      <c r="D41" s="28" t="inlineStr">
        <is>
          <t>Captions and editing craft</t>
        </is>
      </c>
      <c r="E41" s="28" t="inlineStr">
        <is>
          <t>Trim to the first word that matters.</t>
        </is>
      </c>
      <c r="F41" s="28" t="inlineStr">
        <is>
          <t>Trim to the first word that matters.
Most recordings start with a pause, a cough or a half sentence.
Put the main words on screen in the first second.
Save this for your next recording.
https://incubrix.com/?utm_source=instagram&amp;utm_medium=organic_social&amp;utm_campaign=creator_engine_q4_2026&amp;utm_content=ETH2D2-V05&amp;utm_term=craft
#videoediting #captions #contentcreator</t>
        </is>
      </c>
      <c r="G41" s="28" t="inlineStr">
        <is>
          <t>Save this for your next recording.</t>
        </is>
      </c>
      <c r="H41" s="28" t="inlineStr">
        <is>
          <t>https://incubrix.com/?utm_source=instagram&amp;utm_medium=organic_social&amp;utm_campaign=creator_engine_q4_2026&amp;utm_content=ETH2D2-V05&amp;utm_term=craft</t>
        </is>
      </c>
      <c r="I41" s="28" t="inlineStr">
        <is>
          <t>2_Main_Output/assets/ETH2D2-V05/final.mp4</t>
        </is>
      </c>
      <c r="J41" s="28" t="inlineStr">
        <is>
          <t>2_Main_Output/assets/ETH2D2-V05/spec.json</t>
        </is>
      </c>
      <c r="K41" s="28" t="inlineStr">
        <is>
          <t>episode_two_hooks_and_captions.md</t>
        </is>
      </c>
      <c r="L41" s="28" t="inlineStr">
        <is>
          <t>IncuBrix content engine (Python, Pillow, ffmpeg); Inter font (SIL OFL)</t>
        </is>
      </c>
      <c r="M41" s="28" t="inlineStr">
        <is>
          <t>Yes</t>
        </is>
      </c>
      <c r="N41" s="28" t="inlineStr">
        <is>
          <t>No</t>
        </is>
      </c>
      <c r="O41" s="28" t="inlineStr">
        <is>
          <t>2026-11-11 17:00</t>
        </is>
      </c>
      <c r="P41" s="28" t="n"/>
      <c r="Q41" s="28" t="n"/>
      <c r="R41" s="28" t="n"/>
      <c r="S41" s="28" t="n"/>
      <c r="T41" s="28" t="inlineStr">
        <is>
          <t>Ready</t>
        </is>
      </c>
      <c r="U41" s="28" t="inlineStr">
        <is>
          <t>target: engagement rate &gt;= 3% and CTR &gt;= 0.5% (hypothesis, unmeasured)</t>
        </is>
      </c>
      <c r="V41" s="29">
        <f>IF(A41="","",IF(COUNTIF($A$5:$A$154,A41)&gt;1,"DUPLICATE","UNIQUE"))</f>
        <v/>
      </c>
      <c r="W41" s="29">
        <f>IF(A41="","",IF(T41="Rejected","REJECTED",IF(AND(B41&lt;&gt;"",C41&lt;&gt;"",D41&lt;&gt;"",E41&lt;&gt;"",F41&lt;&gt;"",G41&lt;&gt;"",H41&lt;&gt;"",I41&lt;&gt;"",J41&lt;&gt;"",M41&lt;&gt;"",O41&lt;&gt;"",T41&lt;&gt;""),"COMPLETE","MISSING FIELDS")))</f>
        <v/>
      </c>
    </row>
    <row r="42" ht="15" customHeight="1" s="15">
      <c r="A42" s="28" t="inlineStr">
        <is>
          <t>ETH2D2-V06</t>
        </is>
      </c>
      <c r="B42" s="28" t="inlineStr">
        <is>
          <t>YouTube Shorts</t>
        </is>
      </c>
      <c r="C42" s="28" t="inlineStr">
        <is>
          <t>Short video</t>
        </is>
      </c>
      <c r="D42" s="28" t="inlineStr">
        <is>
          <t>Hooks and openings</t>
        </is>
      </c>
      <c r="E42" s="28" t="inlineStr">
        <is>
          <t>Write the hook before you edit the video.</t>
        </is>
      </c>
      <c r="F42" s="28" t="inlineStr">
        <is>
          <t>Write the hook before you edit the video.
If a sentence does not fit, split it.
Buttons and descriptions cover the bottom of vertical video.
Save this for your next recording.
https://incubrix.com/?utm_source=youtube_shorts&amp;utm_medium=organic_social&amp;utm_campaign=creator_engine_q4_2026&amp;utm_content=ETH2D2-V06&amp;utm_term=hooks
#videohooks #contentstrategy #shortformvideo</t>
        </is>
      </c>
      <c r="G42" s="28" t="inlineStr">
        <is>
          <t>Save this for your next recording.</t>
        </is>
      </c>
      <c r="H42" s="28" t="inlineStr">
        <is>
          <t>https://incubrix.com/?utm_source=youtube_shorts&amp;utm_medium=organic_social&amp;utm_campaign=creator_engine_q4_2026&amp;utm_content=ETH2D2-V06&amp;utm_term=hooks</t>
        </is>
      </c>
      <c r="I42" s="28" t="inlineStr">
        <is>
          <t>2_Main_Output/assets/ETH2D2-V06/final.mp4</t>
        </is>
      </c>
      <c r="J42" s="28" t="inlineStr">
        <is>
          <t>2_Main_Output/assets/ETH2D2-V06/spec.json</t>
        </is>
      </c>
      <c r="K42" s="28" t="inlineStr">
        <is>
          <t>episode_two_hooks_and_captions.md</t>
        </is>
      </c>
      <c r="L42" s="28" t="inlineStr">
        <is>
          <t>IncuBrix content engine (Python, Pillow, ffmpeg); Inter font (SIL OFL)</t>
        </is>
      </c>
      <c r="M42" s="28" t="inlineStr">
        <is>
          <t>Yes</t>
        </is>
      </c>
      <c r="N42" s="28" t="inlineStr">
        <is>
          <t>No</t>
        </is>
      </c>
      <c r="O42" s="28" t="inlineStr">
        <is>
          <t>2026-11-05 16:00</t>
        </is>
      </c>
      <c r="P42" s="28" t="n"/>
      <c r="Q42" s="28" t="n"/>
      <c r="R42" s="28" t="n"/>
      <c r="S42" s="28" t="n"/>
      <c r="T42" s="28" t="inlineStr">
        <is>
          <t>Ready</t>
        </is>
      </c>
      <c r="U42" s="28" t="inlineStr">
        <is>
          <t>target: engagement rate &gt;= 3% and CTR &gt;= 0.5% (hypothesis, unmeasured)</t>
        </is>
      </c>
      <c r="V42" s="29">
        <f>IF(A42="","",IF(COUNTIF($A$5:$A$154,A42)&gt;1,"DUPLICATE","UNIQUE"))</f>
        <v/>
      </c>
      <c r="W42" s="29">
        <f>IF(A42="","",IF(T42="Rejected","REJECTED",IF(AND(B42&lt;&gt;"",C42&lt;&gt;"",D42&lt;&gt;"",E42&lt;&gt;"",F42&lt;&gt;"",G42&lt;&gt;"",H42&lt;&gt;"",I42&lt;&gt;"",J42&lt;&gt;"",M42&lt;&gt;"",O42&lt;&gt;"",T42&lt;&gt;""),"COMPLETE","MISSING FIELDS")))</f>
        <v/>
      </c>
    </row>
    <row r="43" ht="15" customHeight="1" s="15">
      <c r="A43" s="28" t="inlineStr">
        <is>
          <t>ETH2D2-V07</t>
        </is>
      </c>
      <c r="B43" s="28" t="inlineStr">
        <is>
          <t>LinkedIn</t>
        </is>
      </c>
      <c r="C43" s="28" t="inlineStr">
        <is>
          <t>Short video</t>
        </is>
      </c>
      <c r="D43" s="28" t="inlineStr">
        <is>
          <t>Captions and editing craft</t>
        </is>
      </c>
      <c r="E43" s="28" t="inlineStr">
        <is>
          <t>Put the main words on screen in the first second.</t>
        </is>
      </c>
      <c r="F43" s="28" t="inlineStr">
        <is>
          <t>Put the main words on screen in the first second.
If you stumble, your viewer will too.
Use plain words instead of jargon.
Save this for your next recording.
https://incubrix.com/?utm_source=linkedin&amp;utm_medium=organic_social&amp;utm_campaign=creator_engine_q4_2026&amp;utm_content=ETH2D2-V07&amp;utm_term=craft
#videoediting #captions #contentcreator</t>
        </is>
      </c>
      <c r="G43" s="28" t="inlineStr">
        <is>
          <t>Save this for your next recording.</t>
        </is>
      </c>
      <c r="H43" s="28" t="inlineStr">
        <is>
          <t>https://incubrix.com/?utm_source=linkedin&amp;utm_medium=organic_social&amp;utm_campaign=creator_engine_q4_2026&amp;utm_content=ETH2D2-V07&amp;utm_term=craft</t>
        </is>
      </c>
      <c r="I43" s="28" t="inlineStr">
        <is>
          <t>2_Main_Output/assets/ETH2D2-V07/final.mp4</t>
        </is>
      </c>
      <c r="J43" s="28" t="inlineStr">
        <is>
          <t>2_Main_Output/assets/ETH2D2-V07/spec.json</t>
        </is>
      </c>
      <c r="K43" s="28" t="inlineStr">
        <is>
          <t>episode_two_hooks_and_captions.md</t>
        </is>
      </c>
      <c r="L43" s="28" t="inlineStr">
        <is>
          <t>IncuBrix content engine (Python, Pillow, ffmpeg); Inter font (SIL OFL)</t>
        </is>
      </c>
      <c r="M43" s="28" t="inlineStr">
        <is>
          <t>Yes</t>
        </is>
      </c>
      <c r="N43" s="28" t="inlineStr">
        <is>
          <t>No</t>
        </is>
      </c>
      <c r="O43" s="28" t="inlineStr">
        <is>
          <t>2026-11-16 13:30</t>
        </is>
      </c>
      <c r="P43" s="28" t="n"/>
      <c r="Q43" s="28" t="n"/>
      <c r="R43" s="28" t="n"/>
      <c r="S43" s="28" t="n"/>
      <c r="T43" s="28" t="inlineStr">
        <is>
          <t>Ready</t>
        </is>
      </c>
      <c r="U43" s="28" t="inlineStr">
        <is>
          <t>target: engagement rate &gt;= 3% and CTR &gt;= 0.5% (hypothesis, unmeasured)</t>
        </is>
      </c>
      <c r="V43" s="29">
        <f>IF(A43="","",IF(COUNTIF($A$5:$A$154,A43)&gt;1,"DUPLICATE","UNIQUE"))</f>
        <v/>
      </c>
      <c r="W43" s="29">
        <f>IF(A43="","",IF(T43="Rejected","REJECTED",IF(AND(B43&lt;&gt;"",C43&lt;&gt;"",D43&lt;&gt;"",E43&lt;&gt;"",F43&lt;&gt;"",G43&lt;&gt;"",H43&lt;&gt;"",I43&lt;&gt;"",J43&lt;&gt;"",M43&lt;&gt;"",O43&lt;&gt;"",T43&lt;&gt;""),"COMPLETE","MISSING FIELDS")))</f>
        <v/>
      </c>
    </row>
    <row r="44" ht="15" customHeight="1" s="15">
      <c r="A44" s="28" t="inlineStr">
        <is>
          <t>ETH2D2-V08</t>
        </is>
      </c>
      <c r="B44" s="28" t="inlineStr">
        <is>
          <t>X</t>
        </is>
      </c>
      <c r="C44" s="28" t="inlineStr">
        <is>
          <t>Short video</t>
        </is>
      </c>
      <c r="D44" s="28" t="inlineStr">
        <is>
          <t>Hooks and openings</t>
        </is>
      </c>
      <c r="E44" s="28" t="inlineStr">
        <is>
          <t>The first version is usually a description.</t>
        </is>
      </c>
      <c r="F44" s="28" t="inlineStr">
        <is>
          <t>The first version is usually a description.
The first line shows before the "more" button, so it must work alone.
Ask a question people can answer in a few words.
Try this on your next episode and compare.
https://incubrix.com/?utm_source=x&amp;utm_medium=organic_social&amp;utm_campaign=creator_engine_q4_2026&amp;utm_content=ETH2D2-V08&amp;utm_term=hooks
#videohooks #contentstrategy</t>
        </is>
      </c>
      <c r="G44" s="28" t="inlineStr">
        <is>
          <t>Try this on your next episode and compare.</t>
        </is>
      </c>
      <c r="H44" s="28" t="inlineStr">
        <is>
          <t>https://incubrix.com/?utm_source=x&amp;utm_medium=organic_social&amp;utm_campaign=creator_engine_q4_2026&amp;utm_content=ETH2D2-V08&amp;utm_term=hooks</t>
        </is>
      </c>
      <c r="I44" s="28" t="inlineStr">
        <is>
          <t>2_Main_Output/assets/ETH2D2-V08/final.mp4</t>
        </is>
      </c>
      <c r="J44" s="28" t="inlineStr">
        <is>
          <t>2_Main_Output/assets/ETH2D2-V08/spec.json</t>
        </is>
      </c>
      <c r="K44" s="28" t="inlineStr">
        <is>
          <t>episode_two_hooks_and_captions.md</t>
        </is>
      </c>
      <c r="L44" s="28" t="inlineStr">
        <is>
          <t>IncuBrix content engine (Python, Pillow, ffmpeg); Inter font (SIL OFL)</t>
        </is>
      </c>
      <c r="M44" s="28" t="inlineStr">
        <is>
          <t>Yes</t>
        </is>
      </c>
      <c r="N44" s="28" t="inlineStr">
        <is>
          <t>No</t>
        </is>
      </c>
      <c r="O44" s="28" t="inlineStr">
        <is>
          <t>2026-11-09 14:00</t>
        </is>
      </c>
      <c r="P44" s="28" t="n"/>
      <c r="Q44" s="28" t="n"/>
      <c r="R44" s="28" t="n"/>
      <c r="S44" s="28" t="n"/>
      <c r="T44" s="28" t="inlineStr">
        <is>
          <t>Ready</t>
        </is>
      </c>
      <c r="U44" s="28" t="inlineStr">
        <is>
          <t>target: engagement rate &gt;= 3% and CTR &gt;= 0.5% (hypothesis, unmeasured)</t>
        </is>
      </c>
      <c r="V44" s="29">
        <f>IF(A44="","",IF(COUNTIF($A$5:$A$154,A44)&gt;1,"DUPLICATE","UNIQUE"))</f>
        <v/>
      </c>
      <c r="W44" s="29">
        <f>IF(A44="","",IF(T44="Rejected","REJECTED",IF(AND(B44&lt;&gt;"",C44&lt;&gt;"",D44&lt;&gt;"",E44&lt;&gt;"",F44&lt;&gt;"",G44&lt;&gt;"",H44&lt;&gt;"",I44&lt;&gt;"",J44&lt;&gt;"",M44&lt;&gt;"",O44&lt;&gt;"",T44&lt;&gt;""),"COMPLETE","MISSING FIELDS")))</f>
        <v/>
      </c>
    </row>
    <row r="45" ht="15" customHeight="1" s="1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9">
        <f>IF(A45="","",IF(COUNTIF($A$5:$A$154,A45)&gt;1,"DUPLICATE","UNIQUE"))</f>
        <v/>
      </c>
      <c r="W45" s="29">
        <f>IF(A45="","",IF(T45="Rejected","REJECTED",IF(AND(B45&lt;&gt;"",C45&lt;&gt;"",D45&lt;&gt;"",E45&lt;&gt;"",F45&lt;&gt;"",G45&lt;&gt;"",H45&lt;&gt;"",I45&lt;&gt;"",J45&lt;&gt;"",M45&lt;&gt;"",O45&lt;&gt;"",T45&lt;&gt;""),"COMPLETE","MISSING FIELDS")))</f>
        <v/>
      </c>
    </row>
    <row r="46" ht="15" customHeight="1" s="1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9">
        <f>IF(A46="","",IF(COUNTIF($A$5:$A$154,A46)&gt;1,"DUPLICATE","UNIQUE"))</f>
        <v/>
      </c>
      <c r="W46" s="29">
        <f>IF(A46="","",IF(T46="Rejected","REJECTED",IF(AND(B46&lt;&gt;"",C46&lt;&gt;"",D46&lt;&gt;"",E46&lt;&gt;"",F46&lt;&gt;"",G46&lt;&gt;"",H46&lt;&gt;"",I46&lt;&gt;"",J46&lt;&gt;"",M46&lt;&gt;"",O46&lt;&gt;"",T46&lt;&gt;""),"COMPLETE","MISSING FIELDS")))</f>
        <v/>
      </c>
    </row>
    <row r="47" ht="15" customHeight="1" s="1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9">
        <f>IF(A47="","",IF(COUNTIF($A$5:$A$154,A47)&gt;1,"DUPLICATE","UNIQUE"))</f>
        <v/>
      </c>
      <c r="W47" s="29">
        <f>IF(A47="","",IF(T47="Rejected","REJECTED",IF(AND(B47&lt;&gt;"",C47&lt;&gt;"",D47&lt;&gt;"",E47&lt;&gt;"",F47&lt;&gt;"",G47&lt;&gt;"",H47&lt;&gt;"",I47&lt;&gt;"",J47&lt;&gt;"",M47&lt;&gt;"",O47&lt;&gt;"",T47&lt;&gt;""),"COMPLETE","MISSING FIELDS")))</f>
        <v/>
      </c>
    </row>
    <row r="48" ht="15" customHeight="1" s="1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9">
        <f>IF(A48="","",IF(COUNTIF($A$5:$A$154,A48)&gt;1,"DUPLICATE","UNIQUE"))</f>
        <v/>
      </c>
      <c r="W48" s="29">
        <f>IF(A48="","",IF(T48="Rejected","REJECTED",IF(AND(B48&lt;&gt;"",C48&lt;&gt;"",D48&lt;&gt;"",E48&lt;&gt;"",F48&lt;&gt;"",G48&lt;&gt;"",H48&lt;&gt;"",I48&lt;&gt;"",J48&lt;&gt;"",M48&lt;&gt;"",O48&lt;&gt;"",T48&lt;&gt;""),"COMPLETE","MISSING FIELDS")))</f>
        <v/>
      </c>
    </row>
    <row r="49" ht="15" customHeight="1" s="1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9">
        <f>IF(A49="","",IF(COUNTIF($A$5:$A$154,A49)&gt;1,"DUPLICATE","UNIQUE"))</f>
        <v/>
      </c>
      <c r="W49" s="29">
        <f>IF(A49="","",IF(T49="Rejected","REJECTED",IF(AND(B49&lt;&gt;"",C49&lt;&gt;"",D49&lt;&gt;"",E49&lt;&gt;"",F49&lt;&gt;"",G49&lt;&gt;"",H49&lt;&gt;"",I49&lt;&gt;"",J49&lt;&gt;"",M49&lt;&gt;"",O49&lt;&gt;"",T49&lt;&gt;""),"COMPLETE","MISSING FIELDS")))</f>
        <v/>
      </c>
    </row>
    <row r="50" ht="15" customHeight="1" s="1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9">
        <f>IF(A50="","",IF(COUNTIF($A$5:$A$154,A50)&gt;1,"DUPLICATE","UNIQUE"))</f>
        <v/>
      </c>
      <c r="W50" s="29">
        <f>IF(A50="","",IF(T50="Rejected","REJECTED",IF(AND(B50&lt;&gt;"",C50&lt;&gt;"",D50&lt;&gt;"",E50&lt;&gt;"",F50&lt;&gt;"",G50&lt;&gt;"",H50&lt;&gt;"",I50&lt;&gt;"",J50&lt;&gt;"",M50&lt;&gt;"",O50&lt;&gt;"",T50&lt;&gt;""),"COMPLETE","MISSING FIELDS")))</f>
        <v/>
      </c>
    </row>
    <row r="51" ht="15" customHeight="1" s="1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9">
        <f>IF(A51="","",IF(COUNTIF($A$5:$A$154,A51)&gt;1,"DUPLICATE","UNIQUE"))</f>
        <v/>
      </c>
      <c r="W51" s="29">
        <f>IF(A51="","",IF(T51="Rejected","REJECTED",IF(AND(B51&lt;&gt;"",C51&lt;&gt;"",D51&lt;&gt;"",E51&lt;&gt;"",F51&lt;&gt;"",G51&lt;&gt;"",H51&lt;&gt;"",I51&lt;&gt;"",J51&lt;&gt;"",M51&lt;&gt;"",O51&lt;&gt;"",T51&lt;&gt;""),"COMPLETE","MISSING FIELDS")))</f>
        <v/>
      </c>
    </row>
    <row r="52" ht="15" customHeight="1" s="1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9">
        <f>IF(A52="","",IF(COUNTIF($A$5:$A$154,A52)&gt;1,"DUPLICATE","UNIQUE"))</f>
        <v/>
      </c>
      <c r="W52" s="29">
        <f>IF(A52="","",IF(T52="Rejected","REJECTED",IF(AND(B52&lt;&gt;"",C52&lt;&gt;"",D52&lt;&gt;"",E52&lt;&gt;"",F52&lt;&gt;"",G52&lt;&gt;"",H52&lt;&gt;"",I52&lt;&gt;"",J52&lt;&gt;"",M52&lt;&gt;"",O52&lt;&gt;"",T52&lt;&gt;""),"COMPLETE","MISSING FIELDS")))</f>
        <v/>
      </c>
    </row>
    <row r="53" ht="15" customHeight="1" s="1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9">
        <f>IF(A53="","",IF(COUNTIF($A$5:$A$154,A53)&gt;1,"DUPLICATE","UNIQUE"))</f>
        <v/>
      </c>
      <c r="W53" s="29">
        <f>IF(A53="","",IF(T53="Rejected","REJECTED",IF(AND(B53&lt;&gt;"",C53&lt;&gt;"",D53&lt;&gt;"",E53&lt;&gt;"",F53&lt;&gt;"",G53&lt;&gt;"",H53&lt;&gt;"",I53&lt;&gt;"",J53&lt;&gt;"",M53&lt;&gt;"",O53&lt;&gt;"",T53&lt;&gt;""),"COMPLETE","MISSING FIELDS")))</f>
        <v/>
      </c>
    </row>
    <row r="54" ht="15" customHeight="1" s="1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9">
        <f>IF(A54="","",IF(COUNTIF($A$5:$A$154,A54)&gt;1,"DUPLICATE","UNIQUE"))</f>
        <v/>
      </c>
      <c r="W54" s="29">
        <f>IF(A54="","",IF(T54="Rejected","REJECTED",IF(AND(B54&lt;&gt;"",C54&lt;&gt;"",D54&lt;&gt;"",E54&lt;&gt;"",F54&lt;&gt;"",G54&lt;&gt;"",H54&lt;&gt;"",I54&lt;&gt;"",J54&lt;&gt;"",M54&lt;&gt;"",O54&lt;&gt;"",T54&lt;&gt;""),"COMPLETE","MISSING FIELDS")))</f>
        <v/>
      </c>
    </row>
    <row r="55" ht="15" customHeight="1" s="1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9">
        <f>IF(A55="","",IF(COUNTIF($A$5:$A$154,A55)&gt;1,"DUPLICATE","UNIQUE"))</f>
        <v/>
      </c>
      <c r="W55" s="29">
        <f>IF(A55="","",IF(T55="Rejected","REJECTED",IF(AND(B55&lt;&gt;"",C55&lt;&gt;"",D55&lt;&gt;"",E55&lt;&gt;"",F55&lt;&gt;"",G55&lt;&gt;"",H55&lt;&gt;"",I55&lt;&gt;"",J55&lt;&gt;"",M55&lt;&gt;"",O55&lt;&gt;"",T55&lt;&gt;""),"COMPLETE","MISSING FIELDS")))</f>
        <v/>
      </c>
    </row>
    <row r="56" ht="15" customHeight="1" s="1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9">
        <f>IF(A56="","",IF(COUNTIF($A$5:$A$154,A56)&gt;1,"DUPLICATE","UNIQUE"))</f>
        <v/>
      </c>
      <c r="W56" s="29">
        <f>IF(A56="","",IF(T56="Rejected","REJECTED",IF(AND(B56&lt;&gt;"",C56&lt;&gt;"",D56&lt;&gt;"",E56&lt;&gt;"",F56&lt;&gt;"",G56&lt;&gt;"",H56&lt;&gt;"",I56&lt;&gt;"",J56&lt;&gt;"",M56&lt;&gt;"",O56&lt;&gt;"",T56&lt;&gt;""),"COMPLETE","MISSING FIELDS")))</f>
        <v/>
      </c>
    </row>
    <row r="57" ht="15" customHeight="1" s="1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9">
        <f>IF(A57="","",IF(COUNTIF($A$5:$A$154,A57)&gt;1,"DUPLICATE","UNIQUE"))</f>
        <v/>
      </c>
      <c r="W57" s="29">
        <f>IF(A57="","",IF(T57="Rejected","REJECTED",IF(AND(B57&lt;&gt;"",C57&lt;&gt;"",D57&lt;&gt;"",E57&lt;&gt;"",F57&lt;&gt;"",G57&lt;&gt;"",H57&lt;&gt;"",I57&lt;&gt;"",J57&lt;&gt;"",M57&lt;&gt;"",O57&lt;&gt;"",T57&lt;&gt;""),"COMPLETE","MISSING FIELDS")))</f>
        <v/>
      </c>
    </row>
    <row r="58" ht="15" customHeight="1" s="1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9">
        <f>IF(A58="","",IF(COUNTIF($A$5:$A$154,A58)&gt;1,"DUPLICATE","UNIQUE"))</f>
        <v/>
      </c>
      <c r="W58" s="29">
        <f>IF(A58="","",IF(T58="Rejected","REJECTED",IF(AND(B58&lt;&gt;"",C58&lt;&gt;"",D58&lt;&gt;"",E58&lt;&gt;"",F58&lt;&gt;"",G58&lt;&gt;"",H58&lt;&gt;"",I58&lt;&gt;"",J58&lt;&gt;"",M58&lt;&gt;"",O58&lt;&gt;"",T58&lt;&gt;""),"COMPLETE","MISSING FIELDS")))</f>
        <v/>
      </c>
    </row>
    <row r="59" ht="15" customHeight="1" s="1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9">
        <f>IF(A59="","",IF(COUNTIF($A$5:$A$154,A59)&gt;1,"DUPLICATE","UNIQUE"))</f>
        <v/>
      </c>
      <c r="W59" s="29">
        <f>IF(A59="","",IF(T59="Rejected","REJECTED",IF(AND(B59&lt;&gt;"",C59&lt;&gt;"",D59&lt;&gt;"",E59&lt;&gt;"",F59&lt;&gt;"",G59&lt;&gt;"",H59&lt;&gt;"",I59&lt;&gt;"",J59&lt;&gt;"",M59&lt;&gt;"",O59&lt;&gt;"",T59&lt;&gt;""),"COMPLETE","MISSING FIELDS")))</f>
        <v/>
      </c>
    </row>
    <row r="60" ht="15" customHeight="1" s="1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9">
        <f>IF(A60="","",IF(COUNTIF($A$5:$A$154,A60)&gt;1,"DUPLICATE","UNIQUE"))</f>
        <v/>
      </c>
      <c r="W60" s="29">
        <f>IF(A60="","",IF(T60="Rejected","REJECTED",IF(AND(B60&lt;&gt;"",C60&lt;&gt;"",D60&lt;&gt;"",E60&lt;&gt;"",F60&lt;&gt;"",G60&lt;&gt;"",H60&lt;&gt;"",I60&lt;&gt;"",J60&lt;&gt;"",M60&lt;&gt;"",O60&lt;&gt;"",T60&lt;&gt;""),"COMPLETE","MISSING FIELDS")))</f>
        <v/>
      </c>
    </row>
    <row r="61" ht="15" customHeight="1" s="1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9">
        <f>IF(A61="","",IF(COUNTIF($A$5:$A$154,A61)&gt;1,"DUPLICATE","UNIQUE"))</f>
        <v/>
      </c>
      <c r="W61" s="29">
        <f>IF(A61="","",IF(T61="Rejected","REJECTED",IF(AND(B61&lt;&gt;"",C61&lt;&gt;"",D61&lt;&gt;"",E61&lt;&gt;"",F61&lt;&gt;"",G61&lt;&gt;"",H61&lt;&gt;"",I61&lt;&gt;"",J61&lt;&gt;"",M61&lt;&gt;"",O61&lt;&gt;"",T61&lt;&gt;""),"COMPLETE","MISSING FIELDS")))</f>
        <v/>
      </c>
    </row>
    <row r="62" ht="15" customHeight="1" s="1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9">
        <f>IF(A62="","",IF(COUNTIF($A$5:$A$154,A62)&gt;1,"DUPLICATE","UNIQUE"))</f>
        <v/>
      </c>
      <c r="W62" s="29">
        <f>IF(A62="","",IF(T62="Rejected","REJECTED",IF(AND(B62&lt;&gt;"",C62&lt;&gt;"",D62&lt;&gt;"",E62&lt;&gt;"",F62&lt;&gt;"",G62&lt;&gt;"",H62&lt;&gt;"",I62&lt;&gt;"",J62&lt;&gt;"",M62&lt;&gt;"",O62&lt;&gt;"",T62&lt;&gt;""),"COMPLETE","MISSING FIELDS")))</f>
        <v/>
      </c>
    </row>
    <row r="63" ht="15" customHeight="1" s="1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9">
        <f>IF(A63="","",IF(COUNTIF($A$5:$A$154,A63)&gt;1,"DUPLICATE","UNIQUE"))</f>
        <v/>
      </c>
      <c r="W63" s="29">
        <f>IF(A63="","",IF(T63="Rejected","REJECTED",IF(AND(B63&lt;&gt;"",C63&lt;&gt;"",D63&lt;&gt;"",E63&lt;&gt;"",F63&lt;&gt;"",G63&lt;&gt;"",H63&lt;&gt;"",I63&lt;&gt;"",J63&lt;&gt;"",M63&lt;&gt;"",O63&lt;&gt;"",T63&lt;&gt;""),"COMPLETE","MISSING FIELDS")))</f>
        <v/>
      </c>
    </row>
    <row r="64" ht="15" customHeight="1" s="1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9">
        <f>IF(A64="","",IF(COUNTIF($A$5:$A$154,A64)&gt;1,"DUPLICATE","UNIQUE"))</f>
        <v/>
      </c>
      <c r="W64" s="29">
        <f>IF(A64="","",IF(T64="Rejected","REJECTED",IF(AND(B64&lt;&gt;"",C64&lt;&gt;"",D64&lt;&gt;"",E64&lt;&gt;"",F64&lt;&gt;"",G64&lt;&gt;"",H64&lt;&gt;"",I64&lt;&gt;"",J64&lt;&gt;"",M64&lt;&gt;"",O64&lt;&gt;"",T64&lt;&gt;""),"COMPLETE","MISSING FIELDS")))</f>
        <v/>
      </c>
    </row>
    <row r="65" ht="15" customHeight="1" s="1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9">
        <f>IF(A65="","",IF(COUNTIF($A$5:$A$154,A65)&gt;1,"DUPLICATE","UNIQUE"))</f>
        <v/>
      </c>
      <c r="W65" s="29">
        <f>IF(A65="","",IF(T65="Rejected","REJECTED",IF(AND(B65&lt;&gt;"",C65&lt;&gt;"",D65&lt;&gt;"",E65&lt;&gt;"",F65&lt;&gt;"",G65&lt;&gt;"",H65&lt;&gt;"",I65&lt;&gt;"",J65&lt;&gt;"",M65&lt;&gt;"",O65&lt;&gt;"",T65&lt;&gt;""),"COMPLETE","MISSING FIELDS")))</f>
        <v/>
      </c>
    </row>
    <row r="66" ht="15" customHeight="1" s="1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9">
        <f>IF(A66="","",IF(COUNTIF($A$5:$A$154,A66)&gt;1,"DUPLICATE","UNIQUE"))</f>
        <v/>
      </c>
      <c r="W66" s="29">
        <f>IF(A66="","",IF(T66="Rejected","REJECTED",IF(AND(B66&lt;&gt;"",C66&lt;&gt;"",D66&lt;&gt;"",E66&lt;&gt;"",F66&lt;&gt;"",G66&lt;&gt;"",H66&lt;&gt;"",I66&lt;&gt;"",J66&lt;&gt;"",M66&lt;&gt;"",O66&lt;&gt;"",T66&lt;&gt;""),"COMPLETE","MISSING FIELDS")))</f>
        <v/>
      </c>
    </row>
    <row r="67" ht="15" customHeight="1" s="1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9">
        <f>IF(A67="","",IF(COUNTIF($A$5:$A$154,A67)&gt;1,"DUPLICATE","UNIQUE"))</f>
        <v/>
      </c>
      <c r="W67" s="29">
        <f>IF(A67="","",IF(T67="Rejected","REJECTED",IF(AND(B67&lt;&gt;"",C67&lt;&gt;"",D67&lt;&gt;"",E67&lt;&gt;"",F67&lt;&gt;"",G67&lt;&gt;"",H67&lt;&gt;"",I67&lt;&gt;"",J67&lt;&gt;"",M67&lt;&gt;"",O67&lt;&gt;"",T67&lt;&gt;""),"COMPLETE","MISSING FIELDS")))</f>
        <v/>
      </c>
    </row>
    <row r="68" ht="15" customHeight="1" s="1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9">
        <f>IF(A68="","",IF(COUNTIF($A$5:$A$154,A68)&gt;1,"DUPLICATE","UNIQUE"))</f>
        <v/>
      </c>
      <c r="W68" s="29">
        <f>IF(A68="","",IF(T68="Rejected","REJECTED",IF(AND(B68&lt;&gt;"",C68&lt;&gt;"",D68&lt;&gt;"",E68&lt;&gt;"",F68&lt;&gt;"",G68&lt;&gt;"",H68&lt;&gt;"",I68&lt;&gt;"",J68&lt;&gt;"",M68&lt;&gt;"",O68&lt;&gt;"",T68&lt;&gt;""),"COMPLETE","MISSING FIELDS")))</f>
        <v/>
      </c>
    </row>
    <row r="69" ht="15" customHeight="1" s="1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9">
        <f>IF(A69="","",IF(COUNTIF($A$5:$A$154,A69)&gt;1,"DUPLICATE","UNIQUE"))</f>
        <v/>
      </c>
      <c r="W69" s="29">
        <f>IF(A69="","",IF(T69="Rejected","REJECTED",IF(AND(B69&lt;&gt;"",C69&lt;&gt;"",D69&lt;&gt;"",E69&lt;&gt;"",F69&lt;&gt;"",G69&lt;&gt;"",H69&lt;&gt;"",I69&lt;&gt;"",J69&lt;&gt;"",M69&lt;&gt;"",O69&lt;&gt;"",T69&lt;&gt;""),"COMPLETE","MISSING FIELDS")))</f>
        <v/>
      </c>
    </row>
    <row r="70" ht="15" customHeight="1" s="1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9">
        <f>IF(A70="","",IF(COUNTIF($A$5:$A$154,A70)&gt;1,"DUPLICATE","UNIQUE"))</f>
        <v/>
      </c>
      <c r="W70" s="29">
        <f>IF(A70="","",IF(T70="Rejected","REJECTED",IF(AND(B70&lt;&gt;"",C70&lt;&gt;"",D70&lt;&gt;"",E70&lt;&gt;"",F70&lt;&gt;"",G70&lt;&gt;"",H70&lt;&gt;"",I70&lt;&gt;"",J70&lt;&gt;"",M70&lt;&gt;"",O70&lt;&gt;"",T70&lt;&gt;""),"COMPLETE","MISSING FIELDS")))</f>
        <v/>
      </c>
    </row>
    <row r="71" ht="15" customHeight="1" s="1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9">
        <f>IF(A71="","",IF(COUNTIF($A$5:$A$154,A71)&gt;1,"DUPLICATE","UNIQUE"))</f>
        <v/>
      </c>
      <c r="W71" s="29">
        <f>IF(A71="","",IF(T71="Rejected","REJECTED",IF(AND(B71&lt;&gt;"",C71&lt;&gt;"",D71&lt;&gt;"",E71&lt;&gt;"",F71&lt;&gt;"",G71&lt;&gt;"",H71&lt;&gt;"",I71&lt;&gt;"",J71&lt;&gt;"",M71&lt;&gt;"",O71&lt;&gt;"",T71&lt;&gt;""),"COMPLETE","MISSING FIELDS")))</f>
        <v/>
      </c>
    </row>
    <row r="72" ht="15" customHeight="1" s="1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9">
        <f>IF(A72="","",IF(COUNTIF($A$5:$A$154,A72)&gt;1,"DUPLICATE","UNIQUE"))</f>
        <v/>
      </c>
      <c r="W72" s="29">
        <f>IF(A72="","",IF(T72="Rejected","REJECTED",IF(AND(B72&lt;&gt;"",C72&lt;&gt;"",D72&lt;&gt;"",E72&lt;&gt;"",F72&lt;&gt;"",G72&lt;&gt;"",H72&lt;&gt;"",I72&lt;&gt;"",J72&lt;&gt;"",M72&lt;&gt;"",O72&lt;&gt;"",T72&lt;&gt;""),"COMPLETE","MISSING FIELDS")))</f>
        <v/>
      </c>
    </row>
    <row r="73" ht="15" customHeight="1" s="1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9">
        <f>IF(A73="","",IF(COUNTIF($A$5:$A$154,A73)&gt;1,"DUPLICATE","UNIQUE"))</f>
        <v/>
      </c>
      <c r="W73" s="29">
        <f>IF(A73="","",IF(T73="Rejected","REJECTED",IF(AND(B73&lt;&gt;"",C73&lt;&gt;"",D73&lt;&gt;"",E73&lt;&gt;"",F73&lt;&gt;"",G73&lt;&gt;"",H73&lt;&gt;"",I73&lt;&gt;"",J73&lt;&gt;"",M73&lt;&gt;"",O73&lt;&gt;"",T73&lt;&gt;""),"COMPLETE","MISSING FIELDS")))</f>
        <v/>
      </c>
    </row>
    <row r="74" ht="15" customHeight="1" s="1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9">
        <f>IF(A74="","",IF(COUNTIF($A$5:$A$154,A74)&gt;1,"DUPLICATE","UNIQUE"))</f>
        <v/>
      </c>
      <c r="W74" s="29">
        <f>IF(A74="","",IF(T74="Rejected","REJECTED",IF(AND(B74&lt;&gt;"",C74&lt;&gt;"",D74&lt;&gt;"",E74&lt;&gt;"",F74&lt;&gt;"",G74&lt;&gt;"",H74&lt;&gt;"",I74&lt;&gt;"",J74&lt;&gt;"",M74&lt;&gt;"",O74&lt;&gt;"",T74&lt;&gt;""),"COMPLETE","MISSING FIELDS")))</f>
        <v/>
      </c>
    </row>
    <row r="75" ht="15" customHeight="1" s="1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9">
        <f>IF(A75="","",IF(COUNTIF($A$5:$A$154,A75)&gt;1,"DUPLICATE","UNIQUE"))</f>
        <v/>
      </c>
      <c r="W75" s="29">
        <f>IF(A75="","",IF(T75="Rejected","REJECTED",IF(AND(B75&lt;&gt;"",C75&lt;&gt;"",D75&lt;&gt;"",E75&lt;&gt;"",F75&lt;&gt;"",G75&lt;&gt;"",H75&lt;&gt;"",I75&lt;&gt;"",J75&lt;&gt;"",M75&lt;&gt;"",O75&lt;&gt;"",T75&lt;&gt;""),"COMPLETE","MISSING FIELDS")))</f>
        <v/>
      </c>
    </row>
    <row r="76" ht="15" customHeight="1" s="1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9">
        <f>IF(A76="","",IF(COUNTIF($A$5:$A$154,A76)&gt;1,"DUPLICATE","UNIQUE"))</f>
        <v/>
      </c>
      <c r="W76" s="29">
        <f>IF(A76="","",IF(T76="Rejected","REJECTED",IF(AND(B76&lt;&gt;"",C76&lt;&gt;"",D76&lt;&gt;"",E76&lt;&gt;"",F76&lt;&gt;"",G76&lt;&gt;"",H76&lt;&gt;"",I76&lt;&gt;"",J76&lt;&gt;"",M76&lt;&gt;"",O76&lt;&gt;"",T76&lt;&gt;""),"COMPLETE","MISSING FIELDS")))</f>
        <v/>
      </c>
    </row>
    <row r="77" ht="15" customHeight="1" s="1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9">
        <f>IF(A77="","",IF(COUNTIF($A$5:$A$154,A77)&gt;1,"DUPLICATE","UNIQUE"))</f>
        <v/>
      </c>
      <c r="W77" s="29">
        <f>IF(A77="","",IF(T77="Rejected","REJECTED",IF(AND(B77&lt;&gt;"",C77&lt;&gt;"",D77&lt;&gt;"",E77&lt;&gt;"",F77&lt;&gt;"",G77&lt;&gt;"",H77&lt;&gt;"",I77&lt;&gt;"",J77&lt;&gt;"",M77&lt;&gt;"",O77&lt;&gt;"",T77&lt;&gt;""),"COMPLETE","MISSING FIELDS")))</f>
        <v/>
      </c>
    </row>
    <row r="78" ht="15" customHeight="1" s="1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9">
        <f>IF(A78="","",IF(COUNTIF($A$5:$A$154,A78)&gt;1,"DUPLICATE","UNIQUE"))</f>
        <v/>
      </c>
      <c r="W78" s="29">
        <f>IF(A78="","",IF(T78="Rejected","REJECTED",IF(AND(B78&lt;&gt;"",C78&lt;&gt;"",D78&lt;&gt;"",E78&lt;&gt;"",F78&lt;&gt;"",G78&lt;&gt;"",H78&lt;&gt;"",I78&lt;&gt;"",J78&lt;&gt;"",M78&lt;&gt;"",O78&lt;&gt;"",T78&lt;&gt;""),"COMPLETE","MISSING FIELDS")))</f>
        <v/>
      </c>
    </row>
    <row r="79" ht="15" customHeight="1" s="1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9">
        <f>IF(A79="","",IF(COUNTIF($A$5:$A$154,A79)&gt;1,"DUPLICATE","UNIQUE"))</f>
        <v/>
      </c>
      <c r="W79" s="29">
        <f>IF(A79="","",IF(T79="Rejected","REJECTED",IF(AND(B79&lt;&gt;"",C79&lt;&gt;"",D79&lt;&gt;"",E79&lt;&gt;"",F79&lt;&gt;"",G79&lt;&gt;"",H79&lt;&gt;"",I79&lt;&gt;"",J79&lt;&gt;"",M79&lt;&gt;"",O79&lt;&gt;"",T79&lt;&gt;""),"COMPLETE","MISSING FIELDS")))</f>
        <v/>
      </c>
    </row>
    <row r="80" ht="15" customHeight="1" s="1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9">
        <f>IF(A80="","",IF(COUNTIF($A$5:$A$154,A80)&gt;1,"DUPLICATE","UNIQUE"))</f>
        <v/>
      </c>
      <c r="W80" s="29">
        <f>IF(A80="","",IF(T80="Rejected","REJECTED",IF(AND(B80&lt;&gt;"",C80&lt;&gt;"",D80&lt;&gt;"",E80&lt;&gt;"",F80&lt;&gt;"",G80&lt;&gt;"",H80&lt;&gt;"",I80&lt;&gt;"",J80&lt;&gt;"",M80&lt;&gt;"",O80&lt;&gt;"",T80&lt;&gt;""),"COMPLETE","MISSING FIELDS")))</f>
        <v/>
      </c>
    </row>
    <row r="81" ht="15" customHeight="1" s="1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9">
        <f>IF(A81="","",IF(COUNTIF($A$5:$A$154,A81)&gt;1,"DUPLICATE","UNIQUE"))</f>
        <v/>
      </c>
      <c r="W81" s="29">
        <f>IF(A81="","",IF(T81="Rejected","REJECTED",IF(AND(B81&lt;&gt;"",C81&lt;&gt;"",D81&lt;&gt;"",E81&lt;&gt;"",F81&lt;&gt;"",G81&lt;&gt;"",H81&lt;&gt;"",I81&lt;&gt;"",J81&lt;&gt;"",M81&lt;&gt;"",O81&lt;&gt;"",T81&lt;&gt;""),"COMPLETE","MISSING FIELDS")))</f>
        <v/>
      </c>
    </row>
    <row r="82" ht="15" customHeight="1" s="1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9">
        <f>IF(A82="","",IF(COUNTIF($A$5:$A$154,A82)&gt;1,"DUPLICATE","UNIQUE"))</f>
        <v/>
      </c>
      <c r="W82" s="29">
        <f>IF(A82="","",IF(T82="Rejected","REJECTED",IF(AND(B82&lt;&gt;"",C82&lt;&gt;"",D82&lt;&gt;"",E82&lt;&gt;"",F82&lt;&gt;"",G82&lt;&gt;"",H82&lt;&gt;"",I82&lt;&gt;"",J82&lt;&gt;"",M82&lt;&gt;"",O82&lt;&gt;"",T82&lt;&gt;""),"COMPLETE","MISSING FIELDS")))</f>
        <v/>
      </c>
    </row>
    <row r="83" ht="15" customHeight="1" s="1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9">
        <f>IF(A83="","",IF(COUNTIF($A$5:$A$154,A83)&gt;1,"DUPLICATE","UNIQUE"))</f>
        <v/>
      </c>
      <c r="W83" s="29">
        <f>IF(A83="","",IF(T83="Rejected","REJECTED",IF(AND(B83&lt;&gt;"",C83&lt;&gt;"",D83&lt;&gt;"",E83&lt;&gt;"",F83&lt;&gt;"",G83&lt;&gt;"",H83&lt;&gt;"",I83&lt;&gt;"",J83&lt;&gt;"",M83&lt;&gt;"",O83&lt;&gt;"",T83&lt;&gt;""),"COMPLETE","MISSING FIELDS")))</f>
        <v/>
      </c>
    </row>
    <row r="84" ht="15" customHeight="1" s="1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9">
        <f>IF(A84="","",IF(COUNTIF($A$5:$A$154,A84)&gt;1,"DUPLICATE","UNIQUE"))</f>
        <v/>
      </c>
      <c r="W84" s="29">
        <f>IF(A84="","",IF(T84="Rejected","REJECTED",IF(AND(B84&lt;&gt;"",C84&lt;&gt;"",D84&lt;&gt;"",E84&lt;&gt;"",F84&lt;&gt;"",G84&lt;&gt;"",H84&lt;&gt;"",I84&lt;&gt;"",J84&lt;&gt;"",M84&lt;&gt;"",O84&lt;&gt;"",T84&lt;&gt;""),"COMPLETE","MISSING FIELDS")))</f>
        <v/>
      </c>
    </row>
    <row r="85" ht="15" customHeight="1" s="1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9">
        <f>IF(A85="","",IF(COUNTIF($A$5:$A$154,A85)&gt;1,"DUPLICATE","UNIQUE"))</f>
        <v/>
      </c>
      <c r="W85" s="29">
        <f>IF(A85="","",IF(T85="Rejected","REJECTED",IF(AND(B85&lt;&gt;"",C85&lt;&gt;"",D85&lt;&gt;"",E85&lt;&gt;"",F85&lt;&gt;"",G85&lt;&gt;"",H85&lt;&gt;"",I85&lt;&gt;"",J85&lt;&gt;"",M85&lt;&gt;"",O85&lt;&gt;"",T85&lt;&gt;""),"COMPLETE","MISSING FIELDS")))</f>
        <v/>
      </c>
    </row>
    <row r="86" ht="15" customHeight="1" s="1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9">
        <f>IF(A86="","",IF(COUNTIF($A$5:$A$154,A86)&gt;1,"DUPLICATE","UNIQUE"))</f>
        <v/>
      </c>
      <c r="W86" s="29">
        <f>IF(A86="","",IF(T86="Rejected","REJECTED",IF(AND(B86&lt;&gt;"",C86&lt;&gt;"",D86&lt;&gt;"",E86&lt;&gt;"",F86&lt;&gt;"",G86&lt;&gt;"",H86&lt;&gt;"",I86&lt;&gt;"",J86&lt;&gt;"",M86&lt;&gt;"",O86&lt;&gt;"",T86&lt;&gt;""),"COMPLETE","MISSING FIELDS")))</f>
        <v/>
      </c>
    </row>
    <row r="87" ht="15" customHeight="1" s="1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9">
        <f>IF(A87="","",IF(COUNTIF($A$5:$A$154,A87)&gt;1,"DUPLICATE","UNIQUE"))</f>
        <v/>
      </c>
      <c r="W87" s="29">
        <f>IF(A87="","",IF(T87="Rejected","REJECTED",IF(AND(B87&lt;&gt;"",C87&lt;&gt;"",D87&lt;&gt;"",E87&lt;&gt;"",F87&lt;&gt;"",G87&lt;&gt;"",H87&lt;&gt;"",I87&lt;&gt;"",J87&lt;&gt;"",M87&lt;&gt;"",O87&lt;&gt;"",T87&lt;&gt;""),"COMPLETE","MISSING FIELDS")))</f>
        <v/>
      </c>
    </row>
    <row r="88" ht="15" customHeight="1" s="1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9">
        <f>IF(A88="","",IF(COUNTIF($A$5:$A$154,A88)&gt;1,"DUPLICATE","UNIQUE"))</f>
        <v/>
      </c>
      <c r="W88" s="29">
        <f>IF(A88="","",IF(T88="Rejected","REJECTED",IF(AND(B88&lt;&gt;"",C88&lt;&gt;"",D88&lt;&gt;"",E88&lt;&gt;"",F88&lt;&gt;"",G88&lt;&gt;"",H88&lt;&gt;"",I88&lt;&gt;"",J88&lt;&gt;"",M88&lt;&gt;"",O88&lt;&gt;"",T88&lt;&gt;""),"COMPLETE","MISSING FIELDS")))</f>
        <v/>
      </c>
    </row>
    <row r="89" ht="15" customHeight="1" s="1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9">
        <f>IF(A89="","",IF(COUNTIF($A$5:$A$154,A89)&gt;1,"DUPLICATE","UNIQUE"))</f>
        <v/>
      </c>
      <c r="W89" s="29">
        <f>IF(A89="","",IF(T89="Rejected","REJECTED",IF(AND(B89&lt;&gt;"",C89&lt;&gt;"",D89&lt;&gt;"",E89&lt;&gt;"",F89&lt;&gt;"",G89&lt;&gt;"",H89&lt;&gt;"",I89&lt;&gt;"",J89&lt;&gt;"",M89&lt;&gt;"",O89&lt;&gt;"",T89&lt;&gt;""),"COMPLETE","MISSING FIELDS")))</f>
        <v/>
      </c>
    </row>
    <row r="90" ht="15" customHeight="1" s="1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9">
        <f>IF(A90="","",IF(COUNTIF($A$5:$A$154,A90)&gt;1,"DUPLICATE","UNIQUE"))</f>
        <v/>
      </c>
      <c r="W90" s="29">
        <f>IF(A90="","",IF(T90="Rejected","REJECTED",IF(AND(B90&lt;&gt;"",C90&lt;&gt;"",D90&lt;&gt;"",E90&lt;&gt;"",F90&lt;&gt;"",G90&lt;&gt;"",H90&lt;&gt;"",I90&lt;&gt;"",J90&lt;&gt;"",M90&lt;&gt;"",O90&lt;&gt;"",T90&lt;&gt;""),"COMPLETE","MISSING FIELDS")))</f>
        <v/>
      </c>
    </row>
    <row r="91" ht="15" customHeight="1" s="1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9">
        <f>IF(A91="","",IF(COUNTIF($A$5:$A$154,A91)&gt;1,"DUPLICATE","UNIQUE"))</f>
        <v/>
      </c>
      <c r="W91" s="29">
        <f>IF(A91="","",IF(T91="Rejected","REJECTED",IF(AND(B91&lt;&gt;"",C91&lt;&gt;"",D91&lt;&gt;"",E91&lt;&gt;"",F91&lt;&gt;"",G91&lt;&gt;"",H91&lt;&gt;"",I91&lt;&gt;"",J91&lt;&gt;"",M91&lt;&gt;"",O91&lt;&gt;"",T91&lt;&gt;""),"COMPLETE","MISSING FIELDS")))</f>
        <v/>
      </c>
    </row>
    <row r="92" ht="15" customHeight="1" s="1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9">
        <f>IF(A92="","",IF(COUNTIF($A$5:$A$154,A92)&gt;1,"DUPLICATE","UNIQUE"))</f>
        <v/>
      </c>
      <c r="W92" s="29">
        <f>IF(A92="","",IF(T92="Rejected","REJECTED",IF(AND(B92&lt;&gt;"",C92&lt;&gt;"",D92&lt;&gt;"",E92&lt;&gt;"",F92&lt;&gt;"",G92&lt;&gt;"",H92&lt;&gt;"",I92&lt;&gt;"",J92&lt;&gt;"",M92&lt;&gt;"",O92&lt;&gt;"",T92&lt;&gt;""),"COMPLETE","MISSING FIELDS")))</f>
        <v/>
      </c>
    </row>
    <row r="93" ht="15" customHeight="1" s="1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9">
        <f>IF(A93="","",IF(COUNTIF($A$5:$A$154,A93)&gt;1,"DUPLICATE","UNIQUE"))</f>
        <v/>
      </c>
      <c r="W93" s="29">
        <f>IF(A93="","",IF(T93="Rejected","REJECTED",IF(AND(B93&lt;&gt;"",C93&lt;&gt;"",D93&lt;&gt;"",E93&lt;&gt;"",F93&lt;&gt;"",G93&lt;&gt;"",H93&lt;&gt;"",I93&lt;&gt;"",J93&lt;&gt;"",M93&lt;&gt;"",O93&lt;&gt;"",T93&lt;&gt;""),"COMPLETE","MISSING FIELDS")))</f>
        <v/>
      </c>
    </row>
    <row r="94" ht="15" customHeight="1" s="1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9">
        <f>IF(A94="","",IF(COUNTIF($A$5:$A$154,A94)&gt;1,"DUPLICATE","UNIQUE"))</f>
        <v/>
      </c>
      <c r="W94" s="29">
        <f>IF(A94="","",IF(T94="Rejected","REJECTED",IF(AND(B94&lt;&gt;"",C94&lt;&gt;"",D94&lt;&gt;"",E94&lt;&gt;"",F94&lt;&gt;"",G94&lt;&gt;"",H94&lt;&gt;"",I94&lt;&gt;"",J94&lt;&gt;"",M94&lt;&gt;"",O94&lt;&gt;"",T94&lt;&gt;""),"COMPLETE","MISSING FIELDS")))</f>
        <v/>
      </c>
    </row>
    <row r="95" ht="15" customHeight="1" s="1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9">
        <f>IF(A95="","",IF(COUNTIF($A$5:$A$154,A95)&gt;1,"DUPLICATE","UNIQUE"))</f>
        <v/>
      </c>
      <c r="W95" s="29">
        <f>IF(A95="","",IF(T95="Rejected","REJECTED",IF(AND(B95&lt;&gt;"",C95&lt;&gt;"",D95&lt;&gt;"",E95&lt;&gt;"",F95&lt;&gt;"",G95&lt;&gt;"",H95&lt;&gt;"",I95&lt;&gt;"",J95&lt;&gt;"",M95&lt;&gt;"",O95&lt;&gt;"",T95&lt;&gt;""),"COMPLETE","MISSING FIELDS")))</f>
        <v/>
      </c>
    </row>
    <row r="96" ht="15" customHeight="1" s="1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9">
        <f>IF(A96="","",IF(COUNTIF($A$5:$A$154,A96)&gt;1,"DUPLICATE","UNIQUE"))</f>
        <v/>
      </c>
      <c r="W96" s="29">
        <f>IF(A96="","",IF(T96="Rejected","REJECTED",IF(AND(B96&lt;&gt;"",C96&lt;&gt;"",D96&lt;&gt;"",E96&lt;&gt;"",F96&lt;&gt;"",G96&lt;&gt;"",H96&lt;&gt;"",I96&lt;&gt;"",J96&lt;&gt;"",M96&lt;&gt;"",O96&lt;&gt;"",T96&lt;&gt;""),"COMPLETE","MISSING FIELDS")))</f>
        <v/>
      </c>
    </row>
    <row r="97" ht="15" customHeight="1" s="1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9">
        <f>IF(A97="","",IF(COUNTIF($A$5:$A$154,A97)&gt;1,"DUPLICATE","UNIQUE"))</f>
        <v/>
      </c>
      <c r="W97" s="29">
        <f>IF(A97="","",IF(T97="Rejected","REJECTED",IF(AND(B97&lt;&gt;"",C97&lt;&gt;"",D97&lt;&gt;"",E97&lt;&gt;"",F97&lt;&gt;"",G97&lt;&gt;"",H97&lt;&gt;"",I97&lt;&gt;"",J97&lt;&gt;"",M97&lt;&gt;"",O97&lt;&gt;"",T97&lt;&gt;""),"COMPLETE","MISSING FIELDS")))</f>
        <v/>
      </c>
    </row>
    <row r="98" ht="15" customHeight="1" s="1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9">
        <f>IF(A98="","",IF(COUNTIF($A$5:$A$154,A98)&gt;1,"DUPLICATE","UNIQUE"))</f>
        <v/>
      </c>
      <c r="W98" s="29">
        <f>IF(A98="","",IF(T98="Rejected","REJECTED",IF(AND(B98&lt;&gt;"",C98&lt;&gt;"",D98&lt;&gt;"",E98&lt;&gt;"",F98&lt;&gt;"",G98&lt;&gt;"",H98&lt;&gt;"",I98&lt;&gt;"",J98&lt;&gt;"",M98&lt;&gt;"",O98&lt;&gt;"",T98&lt;&gt;""),"COMPLETE","MISSING FIELDS")))</f>
        <v/>
      </c>
    </row>
    <row r="99" ht="15" customHeight="1" s="1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9">
        <f>IF(A99="","",IF(COUNTIF($A$5:$A$154,A99)&gt;1,"DUPLICATE","UNIQUE"))</f>
        <v/>
      </c>
      <c r="W99" s="29">
        <f>IF(A99="","",IF(T99="Rejected","REJECTED",IF(AND(B99&lt;&gt;"",C99&lt;&gt;"",D99&lt;&gt;"",E99&lt;&gt;"",F99&lt;&gt;"",G99&lt;&gt;"",H99&lt;&gt;"",I99&lt;&gt;"",J99&lt;&gt;"",M99&lt;&gt;"",O99&lt;&gt;"",T99&lt;&gt;""),"COMPLETE","MISSING FIELDS")))</f>
        <v/>
      </c>
    </row>
    <row r="100" ht="15" customHeight="1" s="1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9">
        <f>IF(A100="","",IF(COUNTIF($A$5:$A$154,A100)&gt;1,"DUPLICATE","UNIQUE"))</f>
        <v/>
      </c>
      <c r="W100" s="29">
        <f>IF(A100="","",IF(T100="Rejected","REJECTED",IF(AND(B100&lt;&gt;"",C100&lt;&gt;"",D100&lt;&gt;"",E100&lt;&gt;"",F100&lt;&gt;"",G100&lt;&gt;"",H100&lt;&gt;"",I100&lt;&gt;"",J100&lt;&gt;"",M100&lt;&gt;"",O100&lt;&gt;"",T100&lt;&gt;""),"COMPLETE","MISSING FIELDS")))</f>
        <v/>
      </c>
    </row>
    <row r="101" ht="15" customHeight="1" s="1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9">
        <f>IF(A101="","",IF(COUNTIF($A$5:$A$154,A101)&gt;1,"DUPLICATE","UNIQUE"))</f>
        <v/>
      </c>
      <c r="W101" s="29">
        <f>IF(A101="","",IF(T101="Rejected","REJECTED",IF(AND(B101&lt;&gt;"",C101&lt;&gt;"",D101&lt;&gt;"",E101&lt;&gt;"",F101&lt;&gt;"",G101&lt;&gt;"",H101&lt;&gt;"",I101&lt;&gt;"",J101&lt;&gt;"",M101&lt;&gt;"",O101&lt;&gt;"",T101&lt;&gt;""),"COMPLETE","MISSING FIELDS")))</f>
        <v/>
      </c>
    </row>
    <row r="102" ht="15" customHeight="1" s="1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9">
        <f>IF(A102="","",IF(COUNTIF($A$5:$A$154,A102)&gt;1,"DUPLICATE","UNIQUE"))</f>
        <v/>
      </c>
      <c r="W102" s="29">
        <f>IF(A102="","",IF(T102="Rejected","REJECTED",IF(AND(B102&lt;&gt;"",C102&lt;&gt;"",D102&lt;&gt;"",E102&lt;&gt;"",F102&lt;&gt;"",G102&lt;&gt;"",H102&lt;&gt;"",I102&lt;&gt;"",J102&lt;&gt;"",M102&lt;&gt;"",O102&lt;&gt;"",T102&lt;&gt;""),"COMPLETE","MISSING FIELDS")))</f>
        <v/>
      </c>
    </row>
    <row r="103" ht="15" customHeight="1" s="1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9">
        <f>IF(A103="","",IF(COUNTIF($A$5:$A$154,A103)&gt;1,"DUPLICATE","UNIQUE"))</f>
        <v/>
      </c>
      <c r="W103" s="29">
        <f>IF(A103="","",IF(T103="Rejected","REJECTED",IF(AND(B103&lt;&gt;"",C103&lt;&gt;"",D103&lt;&gt;"",E103&lt;&gt;"",F103&lt;&gt;"",G103&lt;&gt;"",H103&lt;&gt;"",I103&lt;&gt;"",J103&lt;&gt;"",M103&lt;&gt;"",O103&lt;&gt;"",T103&lt;&gt;""),"COMPLETE","MISSING FIELDS")))</f>
        <v/>
      </c>
    </row>
    <row r="104" ht="15" customHeight="1" s="1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9">
        <f>IF(A104="","",IF(COUNTIF($A$5:$A$154,A104)&gt;1,"DUPLICATE","UNIQUE"))</f>
        <v/>
      </c>
      <c r="W104" s="29">
        <f>IF(A104="","",IF(T104="Rejected","REJECTED",IF(AND(B104&lt;&gt;"",C104&lt;&gt;"",D104&lt;&gt;"",E104&lt;&gt;"",F104&lt;&gt;"",G104&lt;&gt;"",H104&lt;&gt;"",I104&lt;&gt;"",J104&lt;&gt;"",M104&lt;&gt;"",O104&lt;&gt;"",T104&lt;&gt;""),"COMPLETE","MISSING FIELDS")))</f>
        <v/>
      </c>
    </row>
    <row r="105" ht="15" customHeight="1" s="1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9">
        <f>IF(A105="","",IF(COUNTIF($A$5:$A$154,A105)&gt;1,"DUPLICATE","UNIQUE"))</f>
        <v/>
      </c>
      <c r="W105" s="29">
        <f>IF(A105="","",IF(T105="Rejected","REJECTED",IF(AND(B105&lt;&gt;"",C105&lt;&gt;"",D105&lt;&gt;"",E105&lt;&gt;"",F105&lt;&gt;"",G105&lt;&gt;"",H105&lt;&gt;"",I105&lt;&gt;"",J105&lt;&gt;"",M105&lt;&gt;"",O105&lt;&gt;"",T105&lt;&gt;""),"COMPLETE","MISSING FIELDS")))</f>
        <v/>
      </c>
    </row>
    <row r="106" ht="15" customHeight="1" s="1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9">
        <f>IF(A106="","",IF(COUNTIF($A$5:$A$154,A106)&gt;1,"DUPLICATE","UNIQUE"))</f>
        <v/>
      </c>
      <c r="W106" s="29">
        <f>IF(A106="","",IF(T106="Rejected","REJECTED",IF(AND(B106&lt;&gt;"",C106&lt;&gt;"",D106&lt;&gt;"",E106&lt;&gt;"",F106&lt;&gt;"",G106&lt;&gt;"",H106&lt;&gt;"",I106&lt;&gt;"",J106&lt;&gt;"",M106&lt;&gt;"",O106&lt;&gt;"",T106&lt;&gt;""),"COMPLETE","MISSING FIELDS")))</f>
        <v/>
      </c>
    </row>
    <row r="107" ht="15" customHeight="1" s="1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9">
        <f>IF(A107="","",IF(COUNTIF($A$5:$A$154,A107)&gt;1,"DUPLICATE","UNIQUE"))</f>
        <v/>
      </c>
      <c r="W107" s="29">
        <f>IF(A107="","",IF(T107="Rejected","REJECTED",IF(AND(B107&lt;&gt;"",C107&lt;&gt;"",D107&lt;&gt;"",E107&lt;&gt;"",F107&lt;&gt;"",G107&lt;&gt;"",H107&lt;&gt;"",I107&lt;&gt;"",J107&lt;&gt;"",M107&lt;&gt;"",O107&lt;&gt;"",T107&lt;&gt;""),"COMPLETE","MISSING FIELDS")))</f>
        <v/>
      </c>
    </row>
    <row r="108" ht="15" customHeight="1" s="1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9">
        <f>IF(A108="","",IF(COUNTIF($A$5:$A$154,A108)&gt;1,"DUPLICATE","UNIQUE"))</f>
        <v/>
      </c>
      <c r="W108" s="29">
        <f>IF(A108="","",IF(T108="Rejected","REJECTED",IF(AND(B108&lt;&gt;"",C108&lt;&gt;"",D108&lt;&gt;"",E108&lt;&gt;"",F108&lt;&gt;"",G108&lt;&gt;"",H108&lt;&gt;"",I108&lt;&gt;"",J108&lt;&gt;"",M108&lt;&gt;"",O108&lt;&gt;"",T108&lt;&gt;""),"COMPLETE","MISSING FIELDS")))</f>
        <v/>
      </c>
    </row>
    <row r="109" ht="15" customHeight="1" s="1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9">
        <f>IF(A109="","",IF(COUNTIF($A$5:$A$154,A109)&gt;1,"DUPLICATE","UNIQUE"))</f>
        <v/>
      </c>
      <c r="W109" s="29">
        <f>IF(A109="","",IF(T109="Rejected","REJECTED",IF(AND(B109&lt;&gt;"",C109&lt;&gt;"",D109&lt;&gt;"",E109&lt;&gt;"",F109&lt;&gt;"",G109&lt;&gt;"",H109&lt;&gt;"",I109&lt;&gt;"",J109&lt;&gt;"",M109&lt;&gt;"",O109&lt;&gt;"",T109&lt;&gt;""),"COMPLETE","MISSING FIELDS")))</f>
        <v/>
      </c>
    </row>
    <row r="110" ht="15" customHeight="1" s="1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9">
        <f>IF(A110="","",IF(COUNTIF($A$5:$A$154,A110)&gt;1,"DUPLICATE","UNIQUE"))</f>
        <v/>
      </c>
      <c r="W110" s="29">
        <f>IF(A110="","",IF(T110="Rejected","REJECTED",IF(AND(B110&lt;&gt;"",C110&lt;&gt;"",D110&lt;&gt;"",E110&lt;&gt;"",F110&lt;&gt;"",G110&lt;&gt;"",H110&lt;&gt;"",I110&lt;&gt;"",J110&lt;&gt;"",M110&lt;&gt;"",O110&lt;&gt;"",T110&lt;&gt;""),"COMPLETE","MISSING FIELDS")))</f>
        <v/>
      </c>
    </row>
    <row r="111" ht="15" customHeight="1" s="1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9">
        <f>IF(A111="","",IF(COUNTIF($A$5:$A$154,A111)&gt;1,"DUPLICATE","UNIQUE"))</f>
        <v/>
      </c>
      <c r="W111" s="29">
        <f>IF(A111="","",IF(T111="Rejected","REJECTED",IF(AND(B111&lt;&gt;"",C111&lt;&gt;"",D111&lt;&gt;"",E111&lt;&gt;"",F111&lt;&gt;"",G111&lt;&gt;"",H111&lt;&gt;"",I111&lt;&gt;"",J111&lt;&gt;"",M111&lt;&gt;"",O111&lt;&gt;"",T111&lt;&gt;""),"COMPLETE","MISSING FIELDS")))</f>
        <v/>
      </c>
    </row>
    <row r="112" ht="15" customHeight="1" s="1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9">
        <f>IF(A112="","",IF(COUNTIF($A$5:$A$154,A112)&gt;1,"DUPLICATE","UNIQUE"))</f>
        <v/>
      </c>
      <c r="W112" s="29">
        <f>IF(A112="","",IF(T112="Rejected","REJECTED",IF(AND(B112&lt;&gt;"",C112&lt;&gt;"",D112&lt;&gt;"",E112&lt;&gt;"",F112&lt;&gt;"",G112&lt;&gt;"",H112&lt;&gt;"",I112&lt;&gt;"",J112&lt;&gt;"",M112&lt;&gt;"",O112&lt;&gt;"",T112&lt;&gt;""),"COMPLETE","MISSING FIELDS")))</f>
        <v/>
      </c>
    </row>
    <row r="113" ht="15" customHeight="1" s="1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9">
        <f>IF(A113="","",IF(COUNTIF($A$5:$A$154,A113)&gt;1,"DUPLICATE","UNIQUE"))</f>
        <v/>
      </c>
      <c r="W113" s="29">
        <f>IF(A113="","",IF(T113="Rejected","REJECTED",IF(AND(B113&lt;&gt;"",C113&lt;&gt;"",D113&lt;&gt;"",E113&lt;&gt;"",F113&lt;&gt;"",G113&lt;&gt;"",H113&lt;&gt;"",I113&lt;&gt;"",J113&lt;&gt;"",M113&lt;&gt;"",O113&lt;&gt;"",T113&lt;&gt;""),"COMPLETE","MISSING FIELDS")))</f>
        <v/>
      </c>
    </row>
    <row r="114" ht="15" customHeight="1" s="1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9">
        <f>IF(A114="","",IF(COUNTIF($A$5:$A$154,A114)&gt;1,"DUPLICATE","UNIQUE"))</f>
        <v/>
      </c>
      <c r="W114" s="29">
        <f>IF(A114="","",IF(T114="Rejected","REJECTED",IF(AND(B114&lt;&gt;"",C114&lt;&gt;"",D114&lt;&gt;"",E114&lt;&gt;"",F114&lt;&gt;"",G114&lt;&gt;"",H114&lt;&gt;"",I114&lt;&gt;"",J114&lt;&gt;"",M114&lt;&gt;"",O114&lt;&gt;"",T114&lt;&gt;""),"COMPLETE","MISSING FIELDS")))</f>
        <v/>
      </c>
    </row>
    <row r="115" ht="15" customHeight="1" s="1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9">
        <f>IF(A115="","",IF(COUNTIF($A$5:$A$154,A115)&gt;1,"DUPLICATE","UNIQUE"))</f>
        <v/>
      </c>
      <c r="W115" s="29">
        <f>IF(A115="","",IF(T115="Rejected","REJECTED",IF(AND(B115&lt;&gt;"",C115&lt;&gt;"",D115&lt;&gt;"",E115&lt;&gt;"",F115&lt;&gt;"",G115&lt;&gt;"",H115&lt;&gt;"",I115&lt;&gt;"",J115&lt;&gt;"",M115&lt;&gt;"",O115&lt;&gt;"",T115&lt;&gt;""),"COMPLETE","MISSING FIELDS")))</f>
        <v/>
      </c>
    </row>
    <row r="116" ht="15" customHeight="1" s="1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9">
        <f>IF(A116="","",IF(COUNTIF($A$5:$A$154,A116)&gt;1,"DUPLICATE","UNIQUE"))</f>
        <v/>
      </c>
      <c r="W116" s="29">
        <f>IF(A116="","",IF(T116="Rejected","REJECTED",IF(AND(B116&lt;&gt;"",C116&lt;&gt;"",D116&lt;&gt;"",E116&lt;&gt;"",F116&lt;&gt;"",G116&lt;&gt;"",H116&lt;&gt;"",I116&lt;&gt;"",J116&lt;&gt;"",M116&lt;&gt;"",O116&lt;&gt;"",T116&lt;&gt;""),"COMPLETE","MISSING FIELDS")))</f>
        <v/>
      </c>
    </row>
    <row r="117" ht="15" customHeight="1" s="1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9">
        <f>IF(A117="","",IF(COUNTIF($A$5:$A$154,A117)&gt;1,"DUPLICATE","UNIQUE"))</f>
        <v/>
      </c>
      <c r="W117" s="29">
        <f>IF(A117="","",IF(T117="Rejected","REJECTED",IF(AND(B117&lt;&gt;"",C117&lt;&gt;"",D117&lt;&gt;"",E117&lt;&gt;"",F117&lt;&gt;"",G117&lt;&gt;"",H117&lt;&gt;"",I117&lt;&gt;"",J117&lt;&gt;"",M117&lt;&gt;"",O117&lt;&gt;"",T117&lt;&gt;""),"COMPLETE","MISSING FIELDS")))</f>
        <v/>
      </c>
    </row>
    <row r="118" ht="15" customHeight="1" s="1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9">
        <f>IF(A118="","",IF(COUNTIF($A$5:$A$154,A118)&gt;1,"DUPLICATE","UNIQUE"))</f>
        <v/>
      </c>
      <c r="W118" s="29">
        <f>IF(A118="","",IF(T118="Rejected","REJECTED",IF(AND(B118&lt;&gt;"",C118&lt;&gt;"",D118&lt;&gt;"",E118&lt;&gt;"",F118&lt;&gt;"",G118&lt;&gt;"",H118&lt;&gt;"",I118&lt;&gt;"",J118&lt;&gt;"",M118&lt;&gt;"",O118&lt;&gt;"",T118&lt;&gt;""),"COMPLETE","MISSING FIELDS")))</f>
        <v/>
      </c>
    </row>
    <row r="119" ht="15" customHeight="1" s="1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9">
        <f>IF(A119="","",IF(COUNTIF($A$5:$A$154,A119)&gt;1,"DUPLICATE","UNIQUE"))</f>
        <v/>
      </c>
      <c r="W119" s="29">
        <f>IF(A119="","",IF(T119="Rejected","REJECTED",IF(AND(B119&lt;&gt;"",C119&lt;&gt;"",D119&lt;&gt;"",E119&lt;&gt;"",F119&lt;&gt;"",G119&lt;&gt;"",H119&lt;&gt;"",I119&lt;&gt;"",J119&lt;&gt;"",M119&lt;&gt;"",O119&lt;&gt;"",T119&lt;&gt;""),"COMPLETE","MISSING FIELDS")))</f>
        <v/>
      </c>
    </row>
    <row r="120" ht="15" customHeight="1" s="1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9">
        <f>IF(A120="","",IF(COUNTIF($A$5:$A$154,A120)&gt;1,"DUPLICATE","UNIQUE"))</f>
        <v/>
      </c>
      <c r="W120" s="29">
        <f>IF(A120="","",IF(T120="Rejected","REJECTED",IF(AND(B120&lt;&gt;"",C120&lt;&gt;"",D120&lt;&gt;"",E120&lt;&gt;"",F120&lt;&gt;"",G120&lt;&gt;"",H120&lt;&gt;"",I120&lt;&gt;"",J120&lt;&gt;"",M120&lt;&gt;"",O120&lt;&gt;"",T120&lt;&gt;""),"COMPLETE","MISSING FIELDS")))</f>
        <v/>
      </c>
    </row>
    <row r="121" ht="15" customHeight="1" s="1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9">
        <f>IF(A121="","",IF(COUNTIF($A$5:$A$154,A121)&gt;1,"DUPLICATE","UNIQUE"))</f>
        <v/>
      </c>
      <c r="W121" s="29">
        <f>IF(A121="","",IF(T121="Rejected","REJECTED",IF(AND(B121&lt;&gt;"",C121&lt;&gt;"",D121&lt;&gt;"",E121&lt;&gt;"",F121&lt;&gt;"",G121&lt;&gt;"",H121&lt;&gt;"",I121&lt;&gt;"",J121&lt;&gt;"",M121&lt;&gt;"",O121&lt;&gt;"",T121&lt;&gt;""),"COMPLETE","MISSING FIELDS")))</f>
        <v/>
      </c>
    </row>
    <row r="122" ht="15" customHeight="1" s="1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9">
        <f>IF(A122="","",IF(COUNTIF($A$5:$A$154,A122)&gt;1,"DUPLICATE","UNIQUE"))</f>
        <v/>
      </c>
      <c r="W122" s="29">
        <f>IF(A122="","",IF(T122="Rejected","REJECTED",IF(AND(B122&lt;&gt;"",C122&lt;&gt;"",D122&lt;&gt;"",E122&lt;&gt;"",F122&lt;&gt;"",G122&lt;&gt;"",H122&lt;&gt;"",I122&lt;&gt;"",J122&lt;&gt;"",M122&lt;&gt;"",O122&lt;&gt;"",T122&lt;&gt;""),"COMPLETE","MISSING FIELDS")))</f>
        <v/>
      </c>
    </row>
    <row r="123" ht="15" customHeight="1" s="1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9">
        <f>IF(A123="","",IF(COUNTIF($A$5:$A$154,A123)&gt;1,"DUPLICATE","UNIQUE"))</f>
        <v/>
      </c>
      <c r="W123" s="29">
        <f>IF(A123="","",IF(T123="Rejected","REJECTED",IF(AND(B123&lt;&gt;"",C123&lt;&gt;"",D123&lt;&gt;"",E123&lt;&gt;"",F123&lt;&gt;"",G123&lt;&gt;"",H123&lt;&gt;"",I123&lt;&gt;"",J123&lt;&gt;"",M123&lt;&gt;"",O123&lt;&gt;"",T123&lt;&gt;""),"COMPLETE","MISSING FIELDS")))</f>
        <v/>
      </c>
    </row>
    <row r="124" ht="15" customHeight="1" s="1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9">
        <f>IF(A124="","",IF(COUNTIF($A$5:$A$154,A124)&gt;1,"DUPLICATE","UNIQUE"))</f>
        <v/>
      </c>
      <c r="W124" s="29">
        <f>IF(A124="","",IF(T124="Rejected","REJECTED",IF(AND(B124&lt;&gt;"",C124&lt;&gt;"",D124&lt;&gt;"",E124&lt;&gt;"",F124&lt;&gt;"",G124&lt;&gt;"",H124&lt;&gt;"",I124&lt;&gt;"",J124&lt;&gt;"",M124&lt;&gt;"",O124&lt;&gt;"",T124&lt;&gt;""),"COMPLETE","MISSING FIELDS")))</f>
        <v/>
      </c>
    </row>
    <row r="125" ht="15" customHeight="1" s="1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9">
        <f>IF(A125="","",IF(COUNTIF($A$5:$A$154,A125)&gt;1,"DUPLICATE","UNIQUE"))</f>
        <v/>
      </c>
      <c r="W125" s="29">
        <f>IF(A125="","",IF(T125="Rejected","REJECTED",IF(AND(B125&lt;&gt;"",C125&lt;&gt;"",D125&lt;&gt;"",E125&lt;&gt;"",F125&lt;&gt;"",G125&lt;&gt;"",H125&lt;&gt;"",I125&lt;&gt;"",J125&lt;&gt;"",M125&lt;&gt;"",O125&lt;&gt;"",T125&lt;&gt;""),"COMPLETE","MISSING FIELDS")))</f>
        <v/>
      </c>
    </row>
    <row r="126" ht="15" customHeight="1" s="1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9">
        <f>IF(A126="","",IF(COUNTIF($A$5:$A$154,A126)&gt;1,"DUPLICATE","UNIQUE"))</f>
        <v/>
      </c>
      <c r="W126" s="29">
        <f>IF(A126="","",IF(T126="Rejected","REJECTED",IF(AND(B126&lt;&gt;"",C126&lt;&gt;"",D126&lt;&gt;"",E126&lt;&gt;"",F126&lt;&gt;"",G126&lt;&gt;"",H126&lt;&gt;"",I126&lt;&gt;"",J126&lt;&gt;"",M126&lt;&gt;"",O126&lt;&gt;"",T126&lt;&gt;""),"COMPLETE","MISSING FIELDS")))</f>
        <v/>
      </c>
    </row>
    <row r="127" ht="15" customHeight="1" s="1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9">
        <f>IF(A127="","",IF(COUNTIF($A$5:$A$154,A127)&gt;1,"DUPLICATE","UNIQUE"))</f>
        <v/>
      </c>
      <c r="W127" s="29">
        <f>IF(A127="","",IF(T127="Rejected","REJECTED",IF(AND(B127&lt;&gt;"",C127&lt;&gt;"",D127&lt;&gt;"",E127&lt;&gt;"",F127&lt;&gt;"",G127&lt;&gt;"",H127&lt;&gt;"",I127&lt;&gt;"",J127&lt;&gt;"",M127&lt;&gt;"",O127&lt;&gt;"",T127&lt;&gt;""),"COMPLETE","MISSING FIELDS")))</f>
        <v/>
      </c>
    </row>
    <row r="128" ht="15" customHeight="1" s="1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9">
        <f>IF(A128="","",IF(COUNTIF($A$5:$A$154,A128)&gt;1,"DUPLICATE","UNIQUE"))</f>
        <v/>
      </c>
      <c r="W128" s="29">
        <f>IF(A128="","",IF(T128="Rejected","REJECTED",IF(AND(B128&lt;&gt;"",C128&lt;&gt;"",D128&lt;&gt;"",E128&lt;&gt;"",F128&lt;&gt;"",G128&lt;&gt;"",H128&lt;&gt;"",I128&lt;&gt;"",J128&lt;&gt;"",M128&lt;&gt;"",O128&lt;&gt;"",T128&lt;&gt;""),"COMPLETE","MISSING FIELDS")))</f>
        <v/>
      </c>
    </row>
    <row r="129" ht="15" customHeight="1" s="1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9">
        <f>IF(A129="","",IF(COUNTIF($A$5:$A$154,A129)&gt;1,"DUPLICATE","UNIQUE"))</f>
        <v/>
      </c>
      <c r="W129" s="29">
        <f>IF(A129="","",IF(T129="Rejected","REJECTED",IF(AND(B129&lt;&gt;"",C129&lt;&gt;"",D129&lt;&gt;"",E129&lt;&gt;"",F129&lt;&gt;"",G129&lt;&gt;"",H129&lt;&gt;"",I129&lt;&gt;"",J129&lt;&gt;"",M129&lt;&gt;"",O129&lt;&gt;"",T129&lt;&gt;""),"COMPLETE","MISSING FIELDS")))</f>
        <v/>
      </c>
    </row>
    <row r="130" ht="15" customHeight="1" s="1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9">
        <f>IF(A130="","",IF(COUNTIF($A$5:$A$154,A130)&gt;1,"DUPLICATE","UNIQUE"))</f>
        <v/>
      </c>
      <c r="W130" s="29">
        <f>IF(A130="","",IF(T130="Rejected","REJECTED",IF(AND(B130&lt;&gt;"",C130&lt;&gt;"",D130&lt;&gt;"",E130&lt;&gt;"",F130&lt;&gt;"",G130&lt;&gt;"",H130&lt;&gt;"",I130&lt;&gt;"",J130&lt;&gt;"",M130&lt;&gt;"",O130&lt;&gt;"",T130&lt;&gt;""),"COMPLETE","MISSING FIELDS")))</f>
        <v/>
      </c>
    </row>
    <row r="131" ht="15" customHeight="1" s="1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9">
        <f>IF(A131="","",IF(COUNTIF($A$5:$A$154,A131)&gt;1,"DUPLICATE","UNIQUE"))</f>
        <v/>
      </c>
      <c r="W131" s="29">
        <f>IF(A131="","",IF(T131="Rejected","REJECTED",IF(AND(B131&lt;&gt;"",C131&lt;&gt;"",D131&lt;&gt;"",E131&lt;&gt;"",F131&lt;&gt;"",G131&lt;&gt;"",H131&lt;&gt;"",I131&lt;&gt;"",J131&lt;&gt;"",M131&lt;&gt;"",O131&lt;&gt;"",T131&lt;&gt;""),"COMPLETE","MISSING FIELDS")))</f>
        <v/>
      </c>
    </row>
    <row r="132" ht="15" customHeight="1" s="1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9">
        <f>IF(A132="","",IF(COUNTIF($A$5:$A$154,A132)&gt;1,"DUPLICATE","UNIQUE"))</f>
        <v/>
      </c>
      <c r="W132" s="29">
        <f>IF(A132="","",IF(T132="Rejected","REJECTED",IF(AND(B132&lt;&gt;"",C132&lt;&gt;"",D132&lt;&gt;"",E132&lt;&gt;"",F132&lt;&gt;"",G132&lt;&gt;"",H132&lt;&gt;"",I132&lt;&gt;"",J132&lt;&gt;"",M132&lt;&gt;"",O132&lt;&gt;"",T132&lt;&gt;""),"COMPLETE","MISSING FIELDS")))</f>
        <v/>
      </c>
    </row>
    <row r="133" ht="15" customHeight="1" s="1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9">
        <f>IF(A133="","",IF(COUNTIF($A$5:$A$154,A133)&gt;1,"DUPLICATE","UNIQUE"))</f>
        <v/>
      </c>
      <c r="W133" s="29">
        <f>IF(A133="","",IF(T133="Rejected","REJECTED",IF(AND(B133&lt;&gt;"",C133&lt;&gt;"",D133&lt;&gt;"",E133&lt;&gt;"",F133&lt;&gt;"",G133&lt;&gt;"",H133&lt;&gt;"",I133&lt;&gt;"",J133&lt;&gt;"",M133&lt;&gt;"",O133&lt;&gt;"",T133&lt;&gt;""),"COMPLETE","MISSING FIELDS")))</f>
        <v/>
      </c>
    </row>
    <row r="134" ht="15" customHeight="1" s="1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9">
        <f>IF(A134="","",IF(COUNTIF($A$5:$A$154,A134)&gt;1,"DUPLICATE","UNIQUE"))</f>
        <v/>
      </c>
      <c r="W134" s="29">
        <f>IF(A134="","",IF(T134="Rejected","REJECTED",IF(AND(B134&lt;&gt;"",C134&lt;&gt;"",D134&lt;&gt;"",E134&lt;&gt;"",F134&lt;&gt;"",G134&lt;&gt;"",H134&lt;&gt;"",I134&lt;&gt;"",J134&lt;&gt;"",M134&lt;&gt;"",O134&lt;&gt;"",T134&lt;&gt;""),"COMPLETE","MISSING FIELDS")))</f>
        <v/>
      </c>
    </row>
    <row r="135" ht="15" customHeight="1" s="1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9">
        <f>IF(A135="","",IF(COUNTIF($A$5:$A$154,A135)&gt;1,"DUPLICATE","UNIQUE"))</f>
        <v/>
      </c>
      <c r="W135" s="29">
        <f>IF(A135="","",IF(T135="Rejected","REJECTED",IF(AND(B135&lt;&gt;"",C135&lt;&gt;"",D135&lt;&gt;"",E135&lt;&gt;"",F135&lt;&gt;"",G135&lt;&gt;"",H135&lt;&gt;"",I135&lt;&gt;"",J135&lt;&gt;"",M135&lt;&gt;"",O135&lt;&gt;"",T135&lt;&gt;""),"COMPLETE","MISSING FIELDS")))</f>
        <v/>
      </c>
    </row>
    <row r="136" ht="15" customHeight="1" s="1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9">
        <f>IF(A136="","",IF(COUNTIF($A$5:$A$154,A136)&gt;1,"DUPLICATE","UNIQUE"))</f>
        <v/>
      </c>
      <c r="W136" s="29">
        <f>IF(A136="","",IF(T136="Rejected","REJECTED",IF(AND(B136&lt;&gt;"",C136&lt;&gt;"",D136&lt;&gt;"",E136&lt;&gt;"",F136&lt;&gt;"",G136&lt;&gt;"",H136&lt;&gt;"",I136&lt;&gt;"",J136&lt;&gt;"",M136&lt;&gt;"",O136&lt;&gt;"",T136&lt;&gt;""),"COMPLETE","MISSING FIELDS")))</f>
        <v/>
      </c>
    </row>
    <row r="137" ht="15" customHeight="1" s="1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9">
        <f>IF(A137="","",IF(COUNTIF($A$5:$A$154,A137)&gt;1,"DUPLICATE","UNIQUE"))</f>
        <v/>
      </c>
      <c r="W137" s="29">
        <f>IF(A137="","",IF(T137="Rejected","REJECTED",IF(AND(B137&lt;&gt;"",C137&lt;&gt;"",D137&lt;&gt;"",E137&lt;&gt;"",F137&lt;&gt;"",G137&lt;&gt;"",H137&lt;&gt;"",I137&lt;&gt;"",J137&lt;&gt;"",M137&lt;&gt;"",O137&lt;&gt;"",T137&lt;&gt;""),"COMPLETE","MISSING FIELDS")))</f>
        <v/>
      </c>
    </row>
    <row r="138" ht="15" customHeight="1" s="1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9">
        <f>IF(A138="","",IF(COUNTIF($A$5:$A$154,A138)&gt;1,"DUPLICATE","UNIQUE"))</f>
        <v/>
      </c>
      <c r="W138" s="29">
        <f>IF(A138="","",IF(T138="Rejected","REJECTED",IF(AND(B138&lt;&gt;"",C138&lt;&gt;"",D138&lt;&gt;"",E138&lt;&gt;"",F138&lt;&gt;"",G138&lt;&gt;"",H138&lt;&gt;"",I138&lt;&gt;"",J138&lt;&gt;"",M138&lt;&gt;"",O138&lt;&gt;"",T138&lt;&gt;""),"COMPLETE","MISSING FIELDS")))</f>
        <v/>
      </c>
    </row>
    <row r="139" ht="15" customHeight="1" s="1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9">
        <f>IF(A139="","",IF(COUNTIF($A$5:$A$154,A139)&gt;1,"DUPLICATE","UNIQUE"))</f>
        <v/>
      </c>
      <c r="W139" s="29">
        <f>IF(A139="","",IF(T139="Rejected","REJECTED",IF(AND(B139&lt;&gt;"",C139&lt;&gt;"",D139&lt;&gt;"",E139&lt;&gt;"",F139&lt;&gt;"",G139&lt;&gt;"",H139&lt;&gt;"",I139&lt;&gt;"",J139&lt;&gt;"",M139&lt;&gt;"",O139&lt;&gt;"",T139&lt;&gt;""),"COMPLETE","MISSING FIELDS")))</f>
        <v/>
      </c>
    </row>
    <row r="140" ht="15" customHeight="1" s="1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9">
        <f>IF(A140="","",IF(COUNTIF($A$5:$A$154,A140)&gt;1,"DUPLICATE","UNIQUE"))</f>
        <v/>
      </c>
      <c r="W140" s="29">
        <f>IF(A140="","",IF(T140="Rejected","REJECTED",IF(AND(B140&lt;&gt;"",C140&lt;&gt;"",D140&lt;&gt;"",E140&lt;&gt;"",F140&lt;&gt;"",G140&lt;&gt;"",H140&lt;&gt;"",I140&lt;&gt;"",J140&lt;&gt;"",M140&lt;&gt;"",O140&lt;&gt;"",T140&lt;&gt;""),"COMPLETE","MISSING FIELDS")))</f>
        <v/>
      </c>
    </row>
    <row r="141" ht="15" customHeight="1" s="1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9">
        <f>IF(A141="","",IF(COUNTIF($A$5:$A$154,A141)&gt;1,"DUPLICATE","UNIQUE"))</f>
        <v/>
      </c>
      <c r="W141" s="29">
        <f>IF(A141="","",IF(T141="Rejected","REJECTED",IF(AND(B141&lt;&gt;"",C141&lt;&gt;"",D141&lt;&gt;"",E141&lt;&gt;"",F141&lt;&gt;"",G141&lt;&gt;"",H141&lt;&gt;"",I141&lt;&gt;"",J141&lt;&gt;"",M141&lt;&gt;"",O141&lt;&gt;"",T141&lt;&gt;""),"COMPLETE","MISSING FIELDS")))</f>
        <v/>
      </c>
    </row>
    <row r="142" ht="15" customHeight="1" s="1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9">
        <f>IF(A142="","",IF(COUNTIF($A$5:$A$154,A142)&gt;1,"DUPLICATE","UNIQUE"))</f>
        <v/>
      </c>
      <c r="W142" s="29">
        <f>IF(A142="","",IF(T142="Rejected","REJECTED",IF(AND(B142&lt;&gt;"",C142&lt;&gt;"",D142&lt;&gt;"",E142&lt;&gt;"",F142&lt;&gt;"",G142&lt;&gt;"",H142&lt;&gt;"",I142&lt;&gt;"",J142&lt;&gt;"",M142&lt;&gt;"",O142&lt;&gt;"",T142&lt;&gt;""),"COMPLETE","MISSING FIELDS")))</f>
        <v/>
      </c>
    </row>
    <row r="143" ht="15" customHeight="1" s="1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9">
        <f>IF(A143="","",IF(COUNTIF($A$5:$A$154,A143)&gt;1,"DUPLICATE","UNIQUE"))</f>
        <v/>
      </c>
      <c r="W143" s="29">
        <f>IF(A143="","",IF(T143="Rejected","REJECTED",IF(AND(B143&lt;&gt;"",C143&lt;&gt;"",D143&lt;&gt;"",E143&lt;&gt;"",F143&lt;&gt;"",G143&lt;&gt;"",H143&lt;&gt;"",I143&lt;&gt;"",J143&lt;&gt;"",M143&lt;&gt;"",O143&lt;&gt;"",T143&lt;&gt;""),"COMPLETE","MISSING FIELDS")))</f>
        <v/>
      </c>
    </row>
    <row r="144" ht="15" customHeight="1" s="1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9">
        <f>IF(A144="","",IF(COUNTIF($A$5:$A$154,A144)&gt;1,"DUPLICATE","UNIQUE"))</f>
        <v/>
      </c>
      <c r="W144" s="29">
        <f>IF(A144="","",IF(T144="Rejected","REJECTED",IF(AND(B144&lt;&gt;"",C144&lt;&gt;"",D144&lt;&gt;"",E144&lt;&gt;"",F144&lt;&gt;"",G144&lt;&gt;"",H144&lt;&gt;"",I144&lt;&gt;"",J144&lt;&gt;"",M144&lt;&gt;"",O144&lt;&gt;"",T144&lt;&gt;""),"COMPLETE","MISSING FIELDS")))</f>
        <v/>
      </c>
    </row>
    <row r="145" ht="15" customHeight="1" s="1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9">
        <f>IF(A145="","",IF(COUNTIF($A$5:$A$154,A145)&gt;1,"DUPLICATE","UNIQUE"))</f>
        <v/>
      </c>
      <c r="W145" s="29">
        <f>IF(A145="","",IF(T145="Rejected","REJECTED",IF(AND(B145&lt;&gt;"",C145&lt;&gt;"",D145&lt;&gt;"",E145&lt;&gt;"",F145&lt;&gt;"",G145&lt;&gt;"",H145&lt;&gt;"",I145&lt;&gt;"",J145&lt;&gt;"",M145&lt;&gt;"",O145&lt;&gt;"",T145&lt;&gt;""),"COMPLETE","MISSING FIELDS")))</f>
        <v/>
      </c>
    </row>
    <row r="146" ht="15" customHeight="1" s="1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9">
        <f>IF(A146="","",IF(COUNTIF($A$5:$A$154,A146)&gt;1,"DUPLICATE","UNIQUE"))</f>
        <v/>
      </c>
      <c r="W146" s="29">
        <f>IF(A146="","",IF(T146="Rejected","REJECTED",IF(AND(B146&lt;&gt;"",C146&lt;&gt;"",D146&lt;&gt;"",E146&lt;&gt;"",F146&lt;&gt;"",G146&lt;&gt;"",H146&lt;&gt;"",I146&lt;&gt;"",J146&lt;&gt;"",M146&lt;&gt;"",O146&lt;&gt;"",T146&lt;&gt;""),"COMPLETE","MISSING FIELDS")))</f>
        <v/>
      </c>
    </row>
    <row r="147" ht="15" customHeight="1" s="1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9">
        <f>IF(A147="","",IF(COUNTIF($A$5:$A$154,A147)&gt;1,"DUPLICATE","UNIQUE"))</f>
        <v/>
      </c>
      <c r="W147" s="29">
        <f>IF(A147="","",IF(T147="Rejected","REJECTED",IF(AND(B147&lt;&gt;"",C147&lt;&gt;"",D147&lt;&gt;"",E147&lt;&gt;"",F147&lt;&gt;"",G147&lt;&gt;"",H147&lt;&gt;"",I147&lt;&gt;"",J147&lt;&gt;"",M147&lt;&gt;"",O147&lt;&gt;"",T147&lt;&gt;""),"COMPLETE","MISSING FIELDS")))</f>
        <v/>
      </c>
    </row>
    <row r="148" ht="15" customHeight="1" s="1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9">
        <f>IF(A148="","",IF(COUNTIF($A$5:$A$154,A148)&gt;1,"DUPLICATE","UNIQUE"))</f>
        <v/>
      </c>
      <c r="W148" s="29">
        <f>IF(A148="","",IF(T148="Rejected","REJECTED",IF(AND(B148&lt;&gt;"",C148&lt;&gt;"",D148&lt;&gt;"",E148&lt;&gt;"",F148&lt;&gt;"",G148&lt;&gt;"",H148&lt;&gt;"",I148&lt;&gt;"",J148&lt;&gt;"",M148&lt;&gt;"",O148&lt;&gt;"",T148&lt;&gt;""),"COMPLETE","MISSING FIELDS")))</f>
        <v/>
      </c>
    </row>
    <row r="149" ht="15" customHeight="1" s="1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9">
        <f>IF(A149="","",IF(COUNTIF($A$5:$A$154,A149)&gt;1,"DUPLICATE","UNIQUE"))</f>
        <v/>
      </c>
      <c r="W149" s="29">
        <f>IF(A149="","",IF(T149="Rejected","REJECTED",IF(AND(B149&lt;&gt;"",C149&lt;&gt;"",D149&lt;&gt;"",E149&lt;&gt;"",F149&lt;&gt;"",G149&lt;&gt;"",H149&lt;&gt;"",I149&lt;&gt;"",J149&lt;&gt;"",M149&lt;&gt;"",O149&lt;&gt;"",T149&lt;&gt;""),"COMPLETE","MISSING FIELDS")))</f>
        <v/>
      </c>
    </row>
    <row r="150" ht="15" customHeight="1" s="1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9">
        <f>IF(A150="","",IF(COUNTIF($A$5:$A$154,A150)&gt;1,"DUPLICATE","UNIQUE"))</f>
        <v/>
      </c>
      <c r="W150" s="29">
        <f>IF(A150="","",IF(T150="Rejected","REJECTED",IF(AND(B150&lt;&gt;"",C150&lt;&gt;"",D150&lt;&gt;"",E150&lt;&gt;"",F150&lt;&gt;"",G150&lt;&gt;"",H150&lt;&gt;"",I150&lt;&gt;"",J150&lt;&gt;"",M150&lt;&gt;"",O150&lt;&gt;"",T150&lt;&gt;""),"COMPLETE","MISSING FIELDS")))</f>
        <v/>
      </c>
    </row>
    <row r="151" ht="15" customHeight="1" s="1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9">
        <f>IF(A151="","",IF(COUNTIF($A$5:$A$154,A151)&gt;1,"DUPLICATE","UNIQUE"))</f>
        <v/>
      </c>
      <c r="W151" s="29">
        <f>IF(A151="","",IF(T151="Rejected","REJECTED",IF(AND(B151&lt;&gt;"",C151&lt;&gt;"",D151&lt;&gt;"",E151&lt;&gt;"",F151&lt;&gt;"",G151&lt;&gt;"",H151&lt;&gt;"",I151&lt;&gt;"",J151&lt;&gt;"",M151&lt;&gt;"",O151&lt;&gt;"",T151&lt;&gt;""),"COMPLETE","MISSING FIELDS")))</f>
        <v/>
      </c>
    </row>
    <row r="152" ht="15" customHeight="1" s="1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9">
        <f>IF(A152="","",IF(COUNTIF($A$5:$A$154,A152)&gt;1,"DUPLICATE","UNIQUE"))</f>
        <v/>
      </c>
      <c r="W152" s="29">
        <f>IF(A152="","",IF(T152="Rejected","REJECTED",IF(AND(B152&lt;&gt;"",C152&lt;&gt;"",D152&lt;&gt;"",E152&lt;&gt;"",F152&lt;&gt;"",G152&lt;&gt;"",H152&lt;&gt;"",I152&lt;&gt;"",J152&lt;&gt;"",M152&lt;&gt;"",O152&lt;&gt;"",T152&lt;&gt;""),"COMPLETE","MISSING FIELDS")))</f>
        <v/>
      </c>
    </row>
    <row r="153" ht="15" customHeight="1" s="1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9">
        <f>IF(A153="","",IF(COUNTIF($A$5:$A$154,A153)&gt;1,"DUPLICATE","UNIQUE"))</f>
        <v/>
      </c>
      <c r="W153" s="29">
        <f>IF(A153="","",IF(T153="Rejected","REJECTED",IF(AND(B153&lt;&gt;"",C153&lt;&gt;"",D153&lt;&gt;"",E153&lt;&gt;"",F153&lt;&gt;"",G153&lt;&gt;"",H153&lt;&gt;"",I153&lt;&gt;"",J153&lt;&gt;"",M153&lt;&gt;"",O153&lt;&gt;"",T153&lt;&gt;""),"COMPLETE","MISSING FIELDS")))</f>
        <v/>
      </c>
    </row>
    <row r="154" ht="15" customHeight="1" s="1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9">
        <f>IF(A154="","",IF(COUNTIF($A$5:$A$154,A154)&gt;1,"DUPLICATE","UNIQUE"))</f>
        <v/>
      </c>
      <c r="W154" s="29">
        <f>IF(A154="","",IF(T154="Rejected","REJECTED",IF(AND(B154&lt;&gt;"",C154&lt;&gt;"",D154&lt;&gt;"",E154&lt;&gt;"",F154&lt;&gt;"",G154&lt;&gt;"",H154&lt;&gt;"",I154&lt;&gt;"",J154&lt;&gt;"",M154&lt;&gt;"",O154&lt;&gt;"",T154&lt;&gt;""),"COMPLETE","MISSING FIELDS")))</f>
        <v/>
      </c>
    </row>
  </sheetData>
  <mergeCells count="2">
    <mergeCell ref="A2:W2"/>
    <mergeCell ref="A1:W1"/>
  </mergeCells>
  <conditionalFormatting sqref="V5:W154">
    <cfRule type="expression" rank="0" priority="2" equalAverage="0" aboveAverage="0" dxfId="0" text="" percent="0" bottom="0">
      <formula>OR(V5="DUPLICATE",W5="MISSING FIELDS",W5="ADD REASON")</formula>
    </cfRule>
  </conditionalFormatting>
  <dataValidations count="5">
    <dataValidation sqref="B5:B154" showDropDown="0" showInputMessage="0" showErrorMessage="0" allowBlank="1" type="list" errorStyle="stop" operator="between">
      <formula1>"LinkedIn,Instagram,YouTube Shorts,TikTok,X,Threads,Facebook,Reddit"</formula1>
      <formula2>0</formula2>
    </dataValidation>
    <dataValidation sqref="C5:C154" showDropDown="0" showInputMessage="0" showErrorMessage="0" allowBlank="1" type="list" errorStyle="stop" operator="between">
      <formula1>"Short video,Carousel,Graphic,Text post,Thread,Long video"</formula1>
      <formula2>0</formula2>
    </dataValidation>
    <dataValidation sqref="M5:M154" showDropDown="0" showInputMessage="0" showErrorMessage="0" allowBlank="1" type="list" errorStyle="stop" operator="between">
      <formula1>"Yes,No"</formula1>
      <formula2>0</formula2>
    </dataValidation>
    <dataValidation sqref="N5:N154" showDropDown="0" showInputMessage="0" showErrorMessage="0" allowBlank="1" type="list" errorStyle="stop" operator="between">
      <formula1>"Yes,No"</formula1>
      <formula2>0</formula2>
    </dataValidation>
    <dataValidation sqref="T5:T154" showDropDown="0" showInputMessage="0" showErrorMessage="0" allowBlank="1" type="list" errorStyle="stop" operator="between">
      <formula1>"Ready,Draft"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4" min="1" max="1"/>
    <col width="14" customWidth="1" style="14" min="2" max="2"/>
    <col width="40" customWidth="1" style="14" min="3" max="3"/>
    <col width="14" customWidth="1" style="14" min="4" max="7"/>
    <col width="30" customWidth="1" style="14" min="8" max="8"/>
  </cols>
  <sheetData>
    <row r="1" ht="24" customHeight="1" s="15">
      <c r="A1" s="16" t="inlineStr">
        <is>
          <t>Engine and Launch Kit</t>
        </is>
      </c>
      <c r="B1" s="17" t="n"/>
      <c r="C1" s="17" t="n"/>
      <c r="D1" s="17" t="n"/>
      <c r="E1" s="17" t="n"/>
      <c r="F1" s="17" t="n"/>
      <c r="G1" s="17" t="n"/>
      <c r="H1" s="18" t="n"/>
    </row>
    <row r="2" ht="31.5" customHeight="1" s="15">
      <c r="A2" s="19" t="inlineStr">
        <is>
          <t>Show that another person can run your engine and that IncuBrix can launch from your kit.</t>
        </is>
      </c>
      <c r="B2" s="17" t="n"/>
      <c r="C2" s="17" t="n"/>
      <c r="D2" s="17" t="n"/>
      <c r="E2" s="17" t="n"/>
      <c r="F2" s="17" t="n"/>
      <c r="G2" s="17" t="n"/>
      <c r="H2" s="18" t="n"/>
    </row>
    <row r="4" ht="15" customHeight="1" s="15">
      <c r="A4" s="20" t="inlineStr">
        <is>
          <t>A. Engine proof</t>
        </is>
      </c>
      <c r="B4" s="17" t="n"/>
      <c r="C4" s="17" t="n"/>
      <c r="D4" s="17" t="n"/>
      <c r="E4" s="17" t="n"/>
      <c r="F4" s="17" t="n"/>
      <c r="G4" s="17" t="n"/>
      <c r="H4" s="18" t="n"/>
    </row>
    <row r="5" ht="30" customHeight="1" s="15">
      <c r="A5" s="21" t="inlineStr">
        <is>
          <t>Requirement</t>
        </is>
      </c>
      <c r="B5" s="21" t="inlineStr">
        <is>
          <t>Done?</t>
        </is>
      </c>
      <c r="C5" s="21" t="inlineStr">
        <is>
          <t>Evidence path / URL</t>
        </is>
      </c>
      <c r="D5" s="21" t="n"/>
      <c r="E5" s="21" t="n"/>
      <c r="F5" s="21" t="n"/>
      <c r="G5" s="21" t="n"/>
      <c r="H5" s="21" t="inlineStr">
        <is>
          <t>Notes</t>
        </is>
      </c>
    </row>
    <row r="6" ht="33" customHeight="1" s="15">
      <c r="A6" s="24" t="inlineStr">
        <is>
          <t>One clear run command in the README</t>
        </is>
      </c>
      <c r="B6" s="25" t="inlineStr">
        <is>
          <t>Yes</t>
        </is>
      </c>
      <c r="C6" s="25" t="inlineStr">
        <is>
          <t>3_Engine/README.md (section "Run it")</t>
        </is>
      </c>
      <c r="H6" s="25" t="inlineStr">
        <is>
          <t>One command: python run.py inputs/ --out output/</t>
        </is>
      </c>
    </row>
    <row r="7" ht="73.5" customHeight="1" s="15">
      <c r="A7" s="24" t="inlineStr">
        <is>
          <t>Works on a fresh machine or account</t>
        </is>
      </c>
      <c r="B7" s="25" t="inlineStr">
        <is>
          <t>Partial</t>
        </is>
      </c>
      <c r="C7" s="25" t="inlineStr">
        <is>
          <t>3_Engine/evidence/run1_time.txt</t>
        </is>
      </c>
      <c r="H7" s="25" t="inlineStr">
        <is>
          <t>Run from a fresh copy of the folder in a brand-new virtualenv (pip install -r requirements.txt) on the same machine: 113 s, 20 assets. NOT tested on a different computer or OS.</t>
        </is>
      </c>
    </row>
    <row r="8" ht="46.5" customHeight="1" s="15">
      <c r="A8" s="24" t="inlineStr">
        <is>
          <t>Removes duplicates</t>
        </is>
      </c>
      <c r="B8" s="25" t="inlineStr">
        <is>
          <t>Yes</t>
        </is>
      </c>
      <c r="C8" s="25" t="inlineStr">
        <is>
          <t>3_Engine/evidence/run3_refresh_new_input.log; tests: test_no_duplicate_hooks_or_ids</t>
        </is>
      </c>
      <c r="H8" s="25" t="inlineStr">
        <is>
          <t>Duplicate hooks are dropped across inputs; asset IDs are unique; repeat run adds nothing.</t>
        </is>
      </c>
    </row>
    <row r="9" ht="73.5" customHeight="1" s="15">
      <c r="A9" s="24" t="inlineStr">
        <is>
          <t>Quality checks before export</t>
        </is>
      </c>
      <c r="B9" s="25" t="inlineStr">
        <is>
          <t>Yes</t>
        </is>
      </c>
      <c r="C9" s="25" t="inlineStr">
        <is>
          <t>3_Engine/engine/pipeline.py (qa()); tests: QATests</t>
        </is>
      </c>
      <c r="H9" s="25" t="inlineStr">
        <is>
          <t>Gates: hook length, banned phrases, caption/hashtag limits (X link = 23 chars), UTM, video &lt;=60 s, unverified product claims -&gt; Draft. Rejects go to rejects.csv.</t>
        </is>
      </c>
    </row>
    <row r="10" ht="46.5" customHeight="1" s="15">
      <c r="A10" s="24" t="inlineStr">
        <is>
          <t>Clean export in the official format</t>
        </is>
      </c>
      <c r="B10" s="25" t="inlineStr">
        <is>
          <t>Yes</t>
        </is>
      </c>
      <c r="C10" s="25" t="inlineStr">
        <is>
          <t>2_Main_Output/calendar.csv (23 workbook columns) + scheduler_export.csv</t>
        </is>
      </c>
      <c r="H10" s="25" t="inlineStr">
        <is>
          <t>Columns identical to tab 02. scheduler_export.csv is a generic CSV; not tested with a real scheduler.</t>
        </is>
      </c>
    </row>
    <row r="11" ht="73.5" customHeight="1" s="15">
      <c r="A11" s="24" t="inlineStr">
        <is>
          <t>Refresh updates existing items without duplicates</t>
        </is>
      </c>
      <c r="B11" s="25" t="inlineStr">
        <is>
          <t>Yes</t>
        </is>
      </c>
      <c r="C11" s="25" t="inlineStr">
        <is>
          <t>3_Engine/evidence/run2_summary.json and run3_summary.json</t>
        </is>
      </c>
      <c r="H11" s="25" t="inlineStr">
        <is>
          <t>Repeat: 0 created, 20 unchanged, calendar.csv byte-identical (md5 in run2_calendar_md5.txt). Edited input updates the same IDs in place (test_refresh_updates_in_place_without_duplicates).</t>
        </is>
      </c>
    </row>
    <row r="12" ht="60" customHeight="1" s="15">
      <c r="A12" s="24" t="inlineStr">
        <is>
          <t>Logs errors and recovers from a simple failure</t>
        </is>
      </c>
      <c r="B12" s="25" t="inlineStr">
        <is>
          <t>Yes</t>
        </is>
      </c>
      <c r="C12" s="25" t="inlineStr">
        <is>
          <t>3_Engine/evidence/run4a_failure.log and run4b_recovery.log</t>
        </is>
      </c>
      <c r="H12" s="25" t="inlineStr">
        <is>
          <t>Simulated render crash: 1 error logged, 19 built, then re-run built only the missing 1. Unusable input rejected with a message; run continues.</t>
        </is>
      </c>
    </row>
    <row r="13" ht="33" customHeight="1" s="15">
      <c r="A13" s="24" t="inlineStr">
        <is>
          <t>Tests included</t>
        </is>
      </c>
      <c r="B13" s="25" t="inlineStr">
        <is>
          <t>Yes</t>
        </is>
      </c>
      <c r="C13" s="25" t="inlineStr">
        <is>
          <t>3_Engine/tests/test_engine.py; evidence/unit_tests.txt</t>
        </is>
      </c>
      <c r="H13" s="25" t="inlineStr">
        <is>
          <t>34 tests pass after upgrade, including input, refresh, recovery, claims, complete UTMs, platform limits, renders, Windows-style paths, and scoped secret detection fixtures.</t>
        </is>
      </c>
    </row>
    <row r="14" ht="60" customHeight="1" s="15">
      <c r="A14" s="24" t="inlineStr">
        <is>
          <t>No secrets in the repository</t>
        </is>
      </c>
      <c r="B14" s="25" t="inlineStr">
        <is>
          <t>Yes</t>
        </is>
      </c>
      <c r="C14" s="25" t="inlineStr">
        <is>
          <t>3_Engine/tests/test_engine.py (RepoHygiene)</t>
        </is>
      </c>
      <c r="H14" s="25" t="inlineStr">
        <is>
          <t>First-party source/config scan excludes venv/.venv, site-packages, caches, generated media, output and evidence. Tests prove a fake secret is detected and a dependency fixture is excluded.</t>
        </is>
      </c>
    </row>
    <row r="16" ht="15" customHeight="1" s="15">
      <c r="A16" s="20" t="inlineStr">
        <is>
          <t>B. Run summary</t>
        </is>
      </c>
      <c r="B16" s="17" t="n"/>
      <c r="C16" s="17" t="n"/>
      <c r="D16" s="17" t="n"/>
      <c r="E16" s="17" t="n"/>
      <c r="F16" s="17" t="n"/>
      <c r="G16" s="17" t="n"/>
      <c r="H16" s="18" t="n"/>
    </row>
    <row r="17" ht="30" customHeight="1" s="15">
      <c r="A17" s="21" t="inlineStr">
        <is>
          <t>Run</t>
        </is>
      </c>
      <c r="B17" s="21" t="inlineStr">
        <is>
          <t>Input size</t>
        </is>
      </c>
      <c r="C17" s="21" t="inlineStr">
        <is>
          <t>Items produced</t>
        </is>
      </c>
      <c r="D17" s="21" t="inlineStr">
        <is>
          <t>Items rejected</t>
        </is>
      </c>
      <c r="E17" s="21" t="inlineStr">
        <is>
          <t>Duplicates removed</t>
        </is>
      </c>
      <c r="F17" s="21" t="inlineStr">
        <is>
          <t>Runtime (min)</t>
        </is>
      </c>
      <c r="G17" s="21" t="inlineStr">
        <is>
          <t>Direct cost</t>
        </is>
      </c>
      <c r="H17" s="21" t="inlineStr">
        <is>
          <t>Evidence / log</t>
        </is>
      </c>
    </row>
    <row r="18" ht="42" customHeight="1" s="15">
      <c r="A18" s="22" t="inlineStr">
        <is>
          <t>Normal run</t>
        </is>
      </c>
      <c r="B18" s="25" t="inlineStr">
        <is>
          <t>716 words (1 file)</t>
        </is>
      </c>
      <c r="C18" s="25" t="n">
        <v>20</v>
      </c>
      <c r="D18" s="25" t="n">
        <v>0</v>
      </c>
      <c r="E18" s="25" t="n">
        <v>0</v>
      </c>
      <c r="F18" s="25" t="n">
        <v>1.89</v>
      </c>
      <c r="G18" s="25" t="inlineStr">
        <is>
          <t>USD 0</t>
        </is>
      </c>
      <c r="H18" s="25" t="inlineStr">
        <is>
          <t>3_Engine/evidence/run1_normal.log, run1_summary.json</t>
        </is>
      </c>
    </row>
    <row r="19" ht="42" customHeight="1" s="15">
      <c r="A19" s="22" t="inlineStr">
        <is>
          <t>Repeat run (same input)</t>
        </is>
      </c>
      <c r="B19" s="25" t="inlineStr">
        <is>
          <t>716 words (same file)</t>
        </is>
      </c>
      <c r="C19" s="25" t="inlineStr">
        <is>
          <t>0 new (20 unchanged)</t>
        </is>
      </c>
      <c r="D19" s="25" t="n">
        <v>0</v>
      </c>
      <c r="E19" s="25" t="n">
        <v>0</v>
      </c>
      <c r="F19" s="25" t="n">
        <v>0</v>
      </c>
      <c r="G19" s="25" t="inlineStr">
        <is>
          <t>USD 0</t>
        </is>
      </c>
      <c r="H19" s="25" t="inlineStr">
        <is>
          <t>3_Engine/evidence/run2_repeat.log, run2_summary.json</t>
        </is>
      </c>
    </row>
    <row r="20" ht="42" customHeight="1" s="15">
      <c r="A20" s="22" t="inlineStr">
        <is>
          <t>Refresh (new input)</t>
        </is>
      </c>
      <c r="B20" s="25" t="inlineStr">
        <is>
          <t>1,262 words (2 files; 1 new)</t>
        </is>
      </c>
      <c r="C20" s="25" t="inlineStr">
        <is>
          <t>20 new (40 total)</t>
        </is>
      </c>
      <c r="D20" s="25" t="n">
        <v>0</v>
      </c>
      <c r="E20" s="25" t="n">
        <v>0</v>
      </c>
      <c r="F20" s="25" t="n">
        <v>1.7</v>
      </c>
      <c r="G20" s="25" t="inlineStr">
        <is>
          <t>USD 0</t>
        </is>
      </c>
      <c r="H20" s="25" t="inlineStr">
        <is>
          <t>3_Engine/evidence/run3_refresh_new_input.log, run3_summary.json</t>
        </is>
      </c>
    </row>
    <row r="21" ht="42" customHeight="1" s="15">
      <c r="A21" s="22" t="inlineStr">
        <is>
          <t>Failure and recovery</t>
        </is>
      </c>
      <c r="B21" s="25" t="inlineStr">
        <is>
          <t>716 words + 1 unusable file</t>
        </is>
      </c>
      <c r="C21" s="25" t="inlineStr">
        <is>
          <t>19 (1 render failed), then 1 on re-run</t>
        </is>
      </c>
      <c r="D21" s="25" t="inlineStr">
        <is>
          <t>1 bad input file rejected</t>
        </is>
      </c>
      <c r="E21" s="25" t="n">
        <v>0</v>
      </c>
      <c r="F21" s="25" t="inlineStr">
        <is>
          <t>1.58 + 0.17</t>
        </is>
      </c>
      <c r="G21" s="25" t="inlineStr">
        <is>
          <t>USD 0</t>
        </is>
      </c>
      <c r="H21" s="25" t="inlineStr">
        <is>
          <t>3_Engine/evidence/run4a_failure.log, run4b_recovery.log</t>
        </is>
      </c>
    </row>
    <row r="23" ht="15" customHeight="1" s="15">
      <c r="A23" s="20" t="inlineStr">
        <is>
          <t>C. Launch kit summary</t>
        </is>
      </c>
      <c r="B23" s="17" t="n"/>
      <c r="C23" s="17" t="n"/>
      <c r="D23" s="17" t="n"/>
      <c r="E23" s="17" t="n"/>
      <c r="F23" s="17" t="n"/>
      <c r="G23" s="17" t="n"/>
      <c r="H23" s="18" t="n"/>
    </row>
    <row r="24" ht="48.5" customHeight="1" s="15">
      <c r="A24" s="22" t="inlineStr">
        <is>
          <t>Who exactly we target first</t>
        </is>
      </c>
      <c r="B24" s="25" t="inlineStr">
        <is>
          <t>Solo and small-team podcasters and YouTubers (1-5 people) who already publish a long episode weekly and have nobody cutting it into clips and posts; second ring: expert-led creators (coaches, founders) and their editors. Markets: US, CA, UK, IE, AU, NZ, SG. Source: homepage segments (obs. 4).</t>
        </is>
      </c>
      <c r="C24" s="17" t="n"/>
      <c r="D24" s="17" t="n"/>
      <c r="E24" s="17" t="n"/>
      <c r="F24" s="17" t="n"/>
      <c r="G24" s="17" t="n"/>
      <c r="H24" s="18" t="n"/>
    </row>
    <row r="25" ht="48.5" customHeight="1" s="15">
      <c r="A25" s="22" t="inlineStr">
        <is>
          <t>Channels / platforms and why</t>
        </is>
      </c>
      <c r="B25" s="25" t="inlineStr">
        <is>
          <t>LinkedIn, Instagram, YouTube Shorts (primary: audience fit and IncuBrix itself publishes there); X and Threads (secondary experiments, not in IncuBrix's listed publishing set). TikTok, Facebook, Reddit: not now. Reasons in launch kit section 3.</t>
        </is>
      </c>
      <c r="C25" s="17" t="n"/>
      <c r="D25" s="17" t="n"/>
      <c r="E25" s="17" t="n"/>
      <c r="F25" s="17" t="n"/>
      <c r="G25" s="17" t="n"/>
      <c r="H25" s="18" t="n"/>
    </row>
    <row r="26" ht="62" customHeight="1" s="15">
      <c r="A26" s="22" t="inlineStr">
        <is>
          <t>Week 1 actions (owner, tool, volume)</t>
        </is>
      </c>
      <c r="B26" s="25" t="inlineStr">
        <is>
          <t>Mon: Growth owner gets product + account access, verifies product claims (8 in claims.json), runs engine (20 assets, ~2 min), approver signs off. Tue-Fri: publish 20 scheduled posts (LinkedIn 5, Instagram 4, Shorts 3, X 5, Threads 3), reply to all comments in 24 h. Fri: record baseline and reset targets. Tools: engine + native schedulers.</t>
        </is>
      </c>
      <c r="C26" s="17" t="n"/>
      <c r="D26" s="17" t="n"/>
      <c r="E26" s="17" t="n"/>
      <c r="F26" s="17" t="n"/>
      <c r="G26" s="17" t="n"/>
      <c r="H26" s="18" t="n"/>
    </row>
    <row r="27" ht="48.5" customHeight="1" s="15">
      <c r="A27" s="22" t="inlineStr">
        <is>
          <t>Weeks 2-4 actions</t>
        </is>
      </c>
      <c r="B27" s="25" t="inlineStr">
        <is>
          <t>Wk 2: new input, A/B two hook styles, add one human voice/screen video a week. Wk 3: keep top 2 pillars and platforms, cut the weakest to 2 posts/week, optional boost. Wk 4: run the 20-person preference test, report posts/reach/engagement/clicks/sign-ups per asset_id, decide continue/change/stop.</t>
        </is>
      </c>
      <c r="C27" s="17" t="n"/>
      <c r="D27" s="17" t="n"/>
      <c r="E27" s="17" t="n"/>
      <c r="F27" s="17" t="n"/>
      <c r="G27" s="17" t="n"/>
      <c r="H27" s="18" t="n"/>
    </row>
    <row r="28" ht="45" customHeight="1" s="15">
      <c r="A28" s="22" t="inlineStr">
        <is>
          <t>Tools and monthly cost</t>
        </is>
      </c>
      <c r="B28" s="25" t="inlineStr">
        <is>
          <t>USD 0 per month for engine, fonts and native scheduling. Optional paid boost: USD 0 by default, suggested cap USD 200 across weeks 3-4 (IncuBrix decision). Growth owner time ~5 h/week, approver ~1 h/week.</t>
        </is>
      </c>
      <c r="C28" s="17" t="n"/>
      <c r="D28" s="17" t="n"/>
      <c r="E28" s="17" t="n"/>
      <c r="F28" s="17" t="n"/>
      <c r="G28" s="17" t="n"/>
      <c r="H28" s="18" t="n"/>
    </row>
    <row r="29" ht="45" customHeight="1" s="15">
      <c r="A29" s="22" t="inlineStr">
        <is>
          <t>Targets after 30 days (numbers)</t>
        </is>
      </c>
      <c r="B29" s="25" t="inlineStr">
        <is>
          <t>PLANNING ASSUMPTIONS, not benchmarks: 80 posts, 40,000 reach, &gt;=3% median engagement, 200 link clicks (0.5%), &gt;=20 sign-ups (10% of clicks). Reset after the week-1 baseline.</t>
        </is>
      </c>
      <c r="C29" s="17" t="n"/>
      <c r="D29" s="17" t="n"/>
      <c r="E29" s="17" t="n"/>
      <c r="F29" s="17" t="n"/>
      <c r="G29" s="17" t="n"/>
      <c r="H29" s="18" t="n"/>
    </row>
    <row r="30" ht="48.5" customHeight="1" s="15">
      <c r="A30" s="22" t="inlineStr">
        <is>
          <t>Biggest risk and how to handle it</t>
        </is>
      </c>
      <c r="B30" s="25" t="inlineStr">
        <is>
          <t>Biggest risk: generic-looking, text-only videos from new accounts get little reach. Handling: one human voice/screen video per week from week 2, two hook styles tested per platform, kill/scale rule after 2 weeks. Second risk: unverified product claims; the engine holds such posts as Draft.</t>
        </is>
      </c>
      <c r="C30" s="17" t="n"/>
      <c r="D30" s="17" t="n"/>
      <c r="E30" s="17" t="n"/>
      <c r="F30" s="17" t="n"/>
      <c r="G30" s="17" t="n"/>
      <c r="H30" s="18" t="n"/>
    </row>
    <row r="31" ht="62" customHeight="1" s="15">
      <c r="A31" s="22" t="inlineStr">
        <is>
          <t>What IncuBrix must provide (accounts, access, budget)</t>
        </is>
      </c>
      <c r="B31" s="25" t="inlineStr">
        <is>
          <t>Admin access to LinkedIn and Instagram, a YouTube channel, product access and 30 min with the founder to confirm claimable features, the official logo (current graphics use a placeholder mark), an approver with 24-hour turnaround, confirmation that sign-up keeps utm_* parameters, a decision on the optional boost budget.</t>
        </is>
      </c>
      <c r="C31" s="17" t="n"/>
      <c r="D31" s="17" t="n"/>
      <c r="E31" s="17" t="n"/>
      <c r="F31" s="17" t="n"/>
      <c r="G31" s="17" t="n"/>
      <c r="H31" s="18" t="n"/>
    </row>
  </sheetData>
  <mergeCells count="13">
    <mergeCell ref="A1:H1"/>
    <mergeCell ref="A4:H4"/>
    <mergeCell ref="B28:H28"/>
    <mergeCell ref="B26:H26"/>
    <mergeCell ref="B27:H27"/>
    <mergeCell ref="A2:H2"/>
    <mergeCell ref="A16:H16"/>
    <mergeCell ref="B24:H24"/>
    <mergeCell ref="B30:H30"/>
    <mergeCell ref="B29:H29"/>
    <mergeCell ref="B25:H25"/>
    <mergeCell ref="A23:H23"/>
    <mergeCell ref="B31:H31"/>
  </mergeCells>
  <dataValidations count="1">
    <dataValidation sqref="B6:B14" showDropDown="0" showInputMessage="0" showErrorMessage="0" allowBlank="1" type="list" errorStyle="stop" operator="between">
      <formula1>"Yes,Partial,No"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14" customWidth="1" style="14" min="2" max="2"/>
    <col width="16" customWidth="1" style="14" min="3" max="3"/>
    <col width="18" customWidth="1" style="14" min="4" max="4"/>
    <col width="40" customWidth="1" style="14" min="5" max="5"/>
    <col width="14" customWidth="1" style="14" min="6" max="6"/>
  </cols>
  <sheetData>
    <row r="1" ht="24" customHeight="1" s="15">
      <c r="A1" s="16" t="inlineStr">
        <is>
          <t>Self-check and Self-score</t>
        </is>
      </c>
      <c r="B1" s="17" t="n"/>
      <c r="C1" s="17" t="n"/>
      <c r="D1" s="17" t="n"/>
      <c r="E1" s="17" t="n"/>
      <c r="F1" s="18" t="n"/>
    </row>
    <row r="2" ht="31.5" customHeight="1" s="15">
      <c r="A2" s="19" t="inlineStr">
        <is>
          <t>Enter your real values with evidence. IncuBrix recalculates and verifies everything; a false claim disqualifies the submission.</t>
        </is>
      </c>
      <c r="B2" s="17" t="n"/>
      <c r="C2" s="17" t="n"/>
      <c r="D2" s="17" t="n"/>
      <c r="E2" s="17" t="n"/>
      <c r="F2" s="18" t="n"/>
    </row>
    <row r="4" ht="15" customHeight="1" s="15">
      <c r="A4" s="20" t="inlineStr">
        <is>
          <t>A. Minimum results (all must be MET)</t>
        </is>
      </c>
      <c r="B4" s="17" t="n"/>
      <c r="C4" s="17" t="n"/>
      <c r="D4" s="17" t="n"/>
      <c r="E4" s="17" t="n"/>
      <c r="F4" s="18" t="n"/>
    </row>
    <row r="5" ht="30" customHeight="1" s="15">
      <c r="A5" s="21" t="inlineStr">
        <is>
          <t>Minimum</t>
        </is>
      </c>
      <c r="B5" s="21" t="inlineStr">
        <is>
          <t>Required</t>
        </is>
      </c>
      <c r="C5" s="21" t="inlineStr">
        <is>
          <t>Your value</t>
        </is>
      </c>
      <c r="D5" s="21" t="inlineStr">
        <is>
          <t>Workbook calculation</t>
        </is>
      </c>
      <c r="E5" s="21" t="inlineStr">
        <is>
          <t>Evidence path / URL</t>
        </is>
      </c>
      <c r="F5" s="21" t="inlineStr">
        <is>
          <t>Status</t>
        </is>
      </c>
    </row>
    <row r="6" ht="46.5" customHeight="1" s="15">
      <c r="A6" s="24" t="inlineStr">
        <is>
          <t>Ready-to-publish assets</t>
        </is>
      </c>
      <c r="B6" s="26" t="inlineStr">
        <is>
          <t>&gt;= 30</t>
        </is>
      </c>
      <c r="C6" s="23" t="n">
        <v>40</v>
      </c>
      <c r="D6" s="30">
        <f>COUNTIF(02_ASSETS!T5:T154,"Ready")</f>
        <v/>
      </c>
      <c r="E6" s="25" t="inlineStr">
        <is>
          <t>2_Main_Output/calendar.csv: 40 rows, status Ready. Workbook calculation matches.</t>
        </is>
      </c>
      <c r="F6" s="27">
        <f>IF(C6="","",IF(C6&gt;=30,"MET","NOT MET"))</f>
        <v/>
      </c>
    </row>
    <row r="7" ht="46.5" customHeight="1" s="15">
      <c r="A7" s="24" t="inlineStr">
        <is>
          <t>Platforms covered</t>
        </is>
      </c>
      <c r="B7" s="26" t="inlineStr">
        <is>
          <t>&gt;= 3</t>
        </is>
      </c>
      <c r="C7" s="23" t="n">
        <v>5</v>
      </c>
      <c r="D7" s="30" t="inlineStr">
        <is>
          <t>-</t>
        </is>
      </c>
      <c r="E7" s="25" t="inlineStr">
        <is>
          <t>LinkedIn, Instagram, YouTube Shorts, X, Threads (2_Main_Output/calendar.csv, platform column).</t>
        </is>
      </c>
      <c r="F7" s="27">
        <f>IF(C7="","",IF(C7&gt;=3,"MET","NOT MET"))</f>
        <v/>
      </c>
    </row>
    <row r="8" ht="46.5" customHeight="1" s="15">
      <c r="A8" s="24" t="inlineStr">
        <is>
          <t>Short videos (60 s or less)</t>
        </is>
      </c>
      <c r="B8" s="26" t="inlineStr">
        <is>
          <t>&gt;= 10</t>
        </is>
      </c>
      <c r="C8" s="23" t="n">
        <v>16</v>
      </c>
      <c r="D8" s="30">
        <f>COUNTIFS(02_ASSETS!C5:C154,"Short video",02_ASSETS!T5:T154,"Ready")</f>
        <v/>
      </c>
      <c r="E8" s="25" t="inlineStr">
        <is>
          <t>16 'Short video' rows, each 25-33 s (ffprobe check) in 2_Main_Output/assets/*/final.mp4.</t>
        </is>
      </c>
      <c r="F8" s="27">
        <f>IF(C8="","",IF(C8&gt;=10,"MET","NOT MET"))</f>
        <v/>
      </c>
    </row>
    <row r="9" ht="46.5" customHeight="1" s="15">
      <c r="A9" s="24" t="inlineStr">
        <is>
          <t>Carousels or graphics</t>
        </is>
      </c>
      <c r="B9" s="26" t="inlineStr">
        <is>
          <t>&gt;= 5</t>
        </is>
      </c>
      <c r="C9" s="23" t="n">
        <v>16</v>
      </c>
      <c r="D9" s="30">
        <f>COUNTIFS(02_ASSETS!C5:C154,"Carousel",02_ASSETS!T5:T154,"Ready")+COUNTIFS(02_ASSETS!C5:C154,"Graphic",02_ASSETS!T5:T154,"Ready")</f>
        <v/>
      </c>
      <c r="E9" s="25" t="inlineStr">
        <is>
          <t>8 carousels + 8 graphics; files in 2_Main_Output/assets/*/carousel.pdf and final.png.</t>
        </is>
      </c>
      <c r="F9" s="27">
        <f>IF(C9="","",IF(C9&gt;=5,"MET","NOT MET"))</f>
        <v/>
      </c>
    </row>
    <row r="10" ht="87" customHeight="1" s="15">
      <c r="A10" s="24" t="inlineStr">
        <is>
          <t>Rights issues</t>
        </is>
      </c>
      <c r="B10" s="26" t="inlineStr">
        <is>
          <t>0</t>
        </is>
      </c>
      <c r="C10" s="23" t="n">
        <v>0</v>
      </c>
      <c r="D10" s="30">
        <f>COUNTIF(02_ASSETS!M5:M154,"No")</f>
        <v/>
      </c>
      <c r="E10" s="25" t="inlineStr">
        <is>
          <t>No third-party media: programmatic graphics with the Inter font (SIL OFL), no music, voices, faces or stock. Placeholder wordmark is NOT the official logo and must be replaced before publishing (launch kit section 10).</t>
        </is>
      </c>
      <c r="F10" s="27">
        <f>IF(C10="","",IF(C10=0,"MET","NOT MET"))</f>
        <v/>
      </c>
    </row>
    <row r="11" ht="60" customHeight="1" s="15">
      <c r="A11" s="24" t="inlineStr">
        <is>
          <t>Engine makes 10+ assets from one input in under 30 minutes</t>
        </is>
      </c>
      <c r="B11" s="26" t="inlineStr">
        <is>
          <t>Yes</t>
        </is>
      </c>
      <c r="C11" s="23" t="inlineStr">
        <is>
          <t>Yes</t>
        </is>
      </c>
      <c r="D11" s="30" t="inlineStr">
        <is>
          <t>-</t>
        </is>
      </c>
      <c r="E11" s="25" t="inlineStr">
        <is>
          <t>20 assets from one 716-word input in 1.89 min, USD 0, from a fresh copy and fresh virtualenv: 3_Engine/evidence/run1_time.txt and run1_summary.json.</t>
        </is>
      </c>
      <c r="F11" s="27">
        <f>IF(C11="","",IF(C11="Yes","MET","NOT MET"))</f>
        <v/>
      </c>
    </row>
    <row r="12" ht="73.5" customHeight="1" s="15">
      <c r="A12" s="24" t="inlineStr">
        <is>
          <t>Real-audience test completed (10 posts over 5 days, or 20-person test)</t>
        </is>
      </c>
      <c r="B12" s="26" t="inlineStr">
        <is>
          <t>Yes</t>
        </is>
      </c>
      <c r="C12" s="23" t="inlineStr">
        <is>
          <t>No</t>
        </is>
      </c>
      <c r="D12" s="30" t="inlineStr">
        <is>
          <t>-</t>
        </is>
      </c>
      <c r="E12" s="25" t="inlineStr">
        <is>
          <t>NOT DONE. No posts were published and no 20-person test was run. Protocol, templates and analysis script are in 6_Real_Audience_Test/. This minimum is NOT MET until a human completes it.</t>
        </is>
      </c>
      <c r="F12" s="27">
        <f>IF(C12="","",IF(C12="Yes","MET","NOT MET"))</f>
        <v/>
      </c>
    </row>
    <row r="13" ht="27.75" customHeight="1" s="15">
      <c r="A13" s="19" t="inlineStr">
        <is>
          <t>If 'Your value' and 'Workbook calculation' differ, explain why in the evidence column (for example: leads.csv has more rows than the workbook).</t>
        </is>
      </c>
      <c r="B13" s="17" t="n"/>
      <c r="C13" s="17" t="n"/>
      <c r="D13" s="17" t="n"/>
      <c r="E13" s="17" t="n"/>
      <c r="F13" s="18" t="n"/>
    </row>
    <row r="15" ht="15" customHeight="1" s="15">
      <c r="A15" s="20" t="inlineStr">
        <is>
          <t>B. Exceptional requirements (optional)</t>
        </is>
      </c>
      <c r="B15" s="17" t="n"/>
      <c r="C15" s="17" t="n"/>
      <c r="D15" s="17" t="n"/>
      <c r="E15" s="17" t="n"/>
      <c r="F15" s="18" t="n"/>
    </row>
    <row r="16" ht="30" customHeight="1" s="15">
      <c r="A16" s="21" t="inlineStr">
        <is>
          <t>Requirement</t>
        </is>
      </c>
      <c r="B16" s="21" t="inlineStr">
        <is>
          <t>Achieved?</t>
        </is>
      </c>
      <c r="C16" s="21" t="inlineStr">
        <is>
          <t>Your value</t>
        </is>
      </c>
      <c r="D16" s="21" t="n"/>
      <c r="E16" s="21" t="inlineStr">
        <is>
          <t>Evidence path / URL</t>
        </is>
      </c>
      <c r="F16" s="21" t="n"/>
    </row>
    <row r="17" ht="48" customHeight="1" s="15">
      <c r="A17" s="24" t="inlineStr">
        <is>
          <t>60 ready assets, including at least 20 videos, with at least 90% passing our audit.</t>
        </is>
      </c>
      <c r="B17" s="23" t="inlineStr">
        <is>
          <t>No</t>
        </is>
      </c>
      <c r="C17" s="25" t="inlineStr">
        <is>
          <t>40 ready assets, 16 videos; no audit has been run, so no claim.</t>
        </is>
      </c>
      <c r="E17" s="25" t="inlineStr">
        <is>
          <t>Below the 60 asset / 20 video bar.</t>
        </is>
      </c>
    </row>
    <row r="18" ht="48" customHeight="1" s="15">
      <c r="A18" s="24" t="inlineStr">
        <is>
          <t>The real-audience test beats a stated, sourced benchmark for engagement or preference.</t>
        </is>
      </c>
      <c r="B18" s="23" t="inlineStr">
        <is>
          <t>No</t>
        </is>
      </c>
      <c r="C18" s="25" t="inlineStr">
        <is>
          <t>No test run.</t>
        </is>
      </c>
      <c r="E18" s="25" t="inlineStr">
        <is>
          <t>Not achieved; no sourced benchmark compared.</t>
        </is>
      </c>
    </row>
    <row r="19" ht="48" customHeight="1" s="15">
      <c r="A19" s="24" t="inlineStr">
        <is>
          <t>The engine produces a full week (at least 20 assets) from one input in under 30 minutes, with cost documented.</t>
        </is>
      </c>
      <c r="B19" s="23" t="inlineStr">
        <is>
          <t>Yes</t>
        </is>
      </c>
      <c r="C19" s="25" t="inlineStr">
        <is>
          <t>20 assets from one input, 1.89 min, USD 0 (documented).</t>
        </is>
      </c>
      <c r="E19" s="25" t="inlineStr">
        <is>
          <t>3_Engine/evidence/run1_summary.json, run1_time.txt; README measured-runtime line.</t>
        </is>
      </c>
    </row>
    <row r="20" ht="48" customHeight="1" s="15">
      <c r="A20" s="24" t="inlineStr">
        <is>
          <t>A creator-collaboration or user-generated content format that is ready to run.</t>
        </is>
      </c>
      <c r="B20" s="23" t="inlineStr">
        <is>
          <t>No</t>
        </is>
      </c>
      <c r="C20" s="25" t="inlineStr">
        <is>
          <t>A 'Cut my episode' collaboration format is described in launch kit section 13 but has not been piloted.</t>
        </is>
      </c>
      <c r="E20" s="25" t="inlineStr">
        <is>
          <t>Not claimed as ready to run.</t>
        </is>
      </c>
    </row>
    <row r="22" ht="15" customHeight="1" s="15">
      <c r="A22" s="20" t="inlineStr">
        <is>
          <t>C. Your self-score (be honest: reviewers compare it with their own score)</t>
        </is>
      </c>
      <c r="B22" s="17" t="n"/>
      <c r="C22" s="17" t="n"/>
      <c r="D22" s="17" t="n"/>
      <c r="E22" s="17" t="n"/>
      <c r="F22" s="18" t="n"/>
    </row>
    <row r="23" ht="30" customHeight="1" s="15">
      <c r="A23" s="21" t="inlineStr">
        <is>
          <t>Area</t>
        </is>
      </c>
      <c r="B23" s="21" t="inlineStr">
        <is>
          <t>Maximum</t>
        </is>
      </c>
      <c r="C23" s="21" t="inlineStr">
        <is>
          <t>Your score</t>
        </is>
      </c>
      <c r="D23" s="21" t="n"/>
      <c r="E23" s="21" t="inlineStr">
        <is>
          <t>Why you deserve this score (with evidence)</t>
        </is>
      </c>
      <c r="F23" s="21" t="n"/>
    </row>
    <row r="24" ht="73.5" customHeight="1" s="15">
      <c r="A24" s="22" t="inlineStr">
        <is>
          <t>Product and market insight</t>
        </is>
      </c>
      <c r="B24" s="26" t="n">
        <v>10</v>
      </c>
      <c r="C24" s="23" t="inlineStr">
        <is>
          <t>6</t>
        </is>
      </c>
      <c r="E24" s="25" t="inlineStr">
        <is>
          <t>Five public-site observations and three measured opportunities plus a dated LinkedIn audit of IncuBrix and five peers with retained snapshots. Signed-in product use and non-public platform metrics remain unavailable, so this is not full credit.</t>
        </is>
      </c>
      <c r="F24" s="18" t="n"/>
    </row>
    <row r="25" ht="87" customHeight="1" s="15">
      <c r="A25" s="22" t="inlineStr">
        <is>
          <t>Content and strategy quality</t>
        </is>
      </c>
      <c r="B25" s="26" t="n">
        <v>35</v>
      </c>
      <c r="C25" s="23" t="n">
        <v>17</v>
      </c>
      <c r="E25" s="25" t="inlineStr">
        <is>
          <t>40 on-brand, rights-safe, tracked assets with a clear strategy and platform fit (hook/readiness about 10/15, strategy about 7/10). Real-audience test 0/10: not run. Videos are text-only with no human voice.</t>
        </is>
      </c>
      <c r="F25" s="18" t="n"/>
    </row>
    <row r="26" ht="87" customHeight="1" s="15">
      <c r="A26" s="22" t="inlineStr">
        <is>
          <t>Automation and scale</t>
        </is>
      </c>
      <c r="B26" s="26" t="n">
        <v>20</v>
      </c>
      <c r="C26" s="23" t="inlineStr">
        <is>
          <t>17</t>
        </is>
      </c>
      <c r="E26" s="25" t="inlineStr">
        <is>
          <t>One-command deterministic engine, optional source-traced AI fallback, exact/near dedupe, QA/claim gates, logs, atomic state, recovery, scoped secret scanning, 34 tests, runtime and USD 0 offline cost. Full Windows render not executed in this environment.</t>
        </is>
      </c>
      <c r="F26" s="18" t="n"/>
    </row>
    <row r="27" ht="60" customHeight="1" s="15">
      <c r="A27" s="22" t="inlineStr">
        <is>
          <t>Launch readiness</t>
        </is>
      </c>
      <c r="B27" s="26" t="n">
        <v>10</v>
      </c>
      <c r="C27" s="23" t="n">
        <v>7</v>
      </c>
      <c r="E27" s="25" t="inlineStr">
        <is>
          <t>Steps, owners, tools, budget, targets and risks are in the kit. Needs account/product access and the official logo; targets are assumptions.</t>
        </is>
      </c>
      <c r="F27" s="18" t="n"/>
    </row>
    <row r="28" ht="48" customHeight="1" s="15">
      <c r="A28" s="22" t="inlineStr">
        <is>
          <t>Live review</t>
        </is>
      </c>
      <c r="B28" s="26" t="n">
        <v>25</v>
      </c>
      <c r="C28" s="23" t="n">
        <v>0</v>
      </c>
      <c r="E28" s="25" t="inlineStr">
        <is>
          <t>Not self-scored: depends on the candidate tracing assets to evidence and running the engine live.</t>
        </is>
      </c>
      <c r="F28" s="18" t="n"/>
    </row>
    <row r="29" ht="15" customHeight="1" s="15">
      <c r="A29" s="21" t="inlineStr">
        <is>
          <t>Self-score total (out of 100)</t>
        </is>
      </c>
      <c r="B29" s="31" t="n">
        <v>100</v>
      </c>
      <c r="C29" s="27">
        <f>SUM(C24:C28)</f>
        <v/>
      </c>
    </row>
  </sheetData>
  <mergeCells count="11">
    <mergeCell ref="A2:F2"/>
    <mergeCell ref="A13:F13"/>
    <mergeCell ref="E24:F24"/>
    <mergeCell ref="E25:F25"/>
    <mergeCell ref="A1:F1"/>
    <mergeCell ref="E27:F27"/>
    <mergeCell ref="E28:F28"/>
    <mergeCell ref="A22:F22"/>
    <mergeCell ref="A4:F4"/>
    <mergeCell ref="E26:F26"/>
    <mergeCell ref="A15:F15"/>
  </mergeCells>
  <conditionalFormatting sqref="F6:F12">
    <cfRule type="expression" rank="0" priority="2" equalAverage="0" aboveAverage="0" dxfId="0" text="" percent="0" bottom="0">
      <formula>F6="NOT MET"</formula>
    </cfRule>
    <cfRule type="expression" rank="0" priority="3" equalAverage="0" aboveAverage="0" dxfId="1" text="" percent="0" bottom="0">
      <formula>F6="MET"</formula>
    </cfRule>
  </conditionalFormatting>
  <dataValidations count="7">
    <dataValidation sqref="C11" showDropDown="0" showInputMessage="0" showErrorMessage="0" allowBlank="1" type="list" errorStyle="stop" operator="between">
      <formula1>"Yes,No"</formula1>
      <formula2>0</formula2>
    </dataValidation>
    <dataValidation sqref="C12" showDropDown="0" showInputMessage="0" showErrorMessage="0" allowBlank="1" type="list" errorStyle="stop" operator="between">
      <formula1>"Yes,No"</formula1>
      <formula2>0</formula2>
    </dataValidation>
    <dataValidation sqref="B17:B20" showDropDown="0" showInputMessage="0" showErrorMessage="0" allowBlank="1" type="list" errorStyle="stop" operator="between">
      <formula1>"Yes,No"</formula1>
      <formula2>0</formula2>
    </dataValidation>
    <dataValidation sqref="C24 C27" showDropDown="0" showInputMessage="0" showErrorMessage="0" allowBlank="1" type="whole" errorStyle="stop" operator="between">
      <formula1>0</formula1>
      <formula2>10</formula2>
    </dataValidation>
    <dataValidation sqref="C25" showDropDown="0" showInputMessage="0" showErrorMessage="0" allowBlank="1" type="whole" errorStyle="stop" operator="between">
      <formula1>0</formula1>
      <formula2>35</formula2>
    </dataValidation>
    <dataValidation sqref="C26" showDropDown="0" showInputMessage="0" showErrorMessage="0" allowBlank="1" type="whole" errorStyle="stop" operator="between">
      <formula1>0</formula1>
      <formula2>20</formula2>
    </dataValidation>
    <dataValidation sqref="C28" showDropDown="0" showInputMessage="0" showErrorMessage="0" allowBlank="1" type="whole"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2026-10-13T09:38:48Z</dcterms:created>
  <dcterms:modified xmlns:dcterms="http://purl.org/dc/terms/" xmlns:xsi="http://www.w3.org/2001/XMLSchema-instance" xsi:type="dcterms:W3CDTF">2026-10-27T16:53:51Z</dcterms:modified>
  <cp:revision>0</cp:revision>
</cp:coreProperties>
</file>