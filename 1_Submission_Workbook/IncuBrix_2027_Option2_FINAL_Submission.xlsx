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styles.xml" ContentType="application/vnd.openxmlformats-officedocument.spreadsheetml.styles+xml"/>
  <ns0:Override PartName="/xl/theme/theme1.xml" ContentType="application/vnd.openxmlformats-officedocument.theme+xml"/>
  <ns0:Override PartName="/docProps/core.xml" ContentType="application/vnd.openxmlformats-package.core-properties+xml"/>
  <ns0:Override PartName="/docProps/app.xml" ContentType="application/vnd.openxmlformats-officedocument.extended-propertie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book.xml" ContentType="application/vnd.openxmlformats-officedocument.spreadsheetml.sheet.main+xml"/>
  <ns0:Override PartName="/xl/worksheets/sheet6.xml" ContentType="application/vnd.openxmlformats-officedocument.spreadsheetml.worksheet+xml"/>
</ns0: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workbookProtection/>
  <bookViews>
    <workbookView visibility="visible" minimized="0" showHorizontalScroll="1" showVerticalScroll="1" showSheetTabs="1" xWindow="0" yWindow="0" windowWidth="16384" windowHeight="8192" tabRatio="500" firstSheet="0" activeTab="0" autoFilterDateGrouping="1"/>
  </bookViews>
  <sheets>
    <sheet name="00_START" sheetId="1" state="visible" r:id="rId1"/>
    <sheet name="01_INSIGHT" sheetId="2" state="visible" r:id="rId2"/>
    <sheet name="02_ASSETS" sheetId="3" state="visible" r:id="rId3"/>
    <sheet name="03_ENGINE_LAUNCH" sheetId="4" state="visible" r:id="rId4"/>
    <sheet name="04_SELF_CHECK" sheetId="5" state="visible" r:id="rId5"/>
    <sheet name="05_DISCLOSURE" sheetId="6"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i val="1"/>
      <color rgb="FF1F2933"/>
      <sz val="10"/>
    </font>
    <font>
      <name val="Arial"/>
      <charset val="1"/>
      <family val="0"/>
      <b val="1"/>
      <color rgb="FF1F2933"/>
      <sz val="11"/>
    </font>
    <font>
      <name val="Arial"/>
      <charset val="1"/>
      <family val="0"/>
      <b val="1"/>
      <color rgb="FF1F2933"/>
      <sz val="10"/>
    </font>
    <font>
      <name val="Arial"/>
      <charset val="1"/>
      <family val="0"/>
      <color rgb="FF1F2933"/>
      <sz val="10"/>
    </font>
  </fonts>
  <fills count="7">
    <fill>
      <patternFill/>
    </fill>
    <fill>
      <patternFill patternType="gray125"/>
    </fill>
    <fill>
      <patternFill patternType="solid">
        <fgColor rgb="FF0B1B2B"/>
        <bgColor rgb="FF1F2933"/>
      </patternFill>
    </fill>
    <fill>
      <patternFill patternType="solid">
        <fgColor rgb="FFF2F2F2"/>
        <bgColor rgb="FFE2EFDA"/>
      </patternFill>
    </fill>
    <fill>
      <patternFill patternType="solid">
        <fgColor rgb="FFD9EAF7"/>
        <bgColor rgb="FFE2EFDA"/>
      </patternFill>
    </fill>
    <fill>
      <patternFill patternType="solid">
        <fgColor rgb="FFFFF2CC"/>
        <bgColor rgb="FFF2F2F2"/>
      </patternFill>
    </fill>
    <fill>
      <patternFill patternType="solid">
        <fgColor rgb="FFE2EFDA"/>
        <bgColor rgb="FFD9EAF7"/>
      </patternFill>
    </fill>
  </fills>
  <borders count="6">
    <border>
      <left/>
      <right/>
      <top/>
      <bottom/>
      <diagonal/>
    </border>
    <border>
      <left style="thin">
        <color rgb="FFBFC9D1"/>
      </left>
      <right style="thin">
        <color rgb="FFBFC9D1"/>
      </right>
      <top style="thin">
        <color rgb="FFBFC9D1"/>
      </top>
      <bottom style="thin">
        <color rgb="FFBFC9D1"/>
      </bottom>
      <diagonal/>
    </border>
    <border>
      <left/>
      <right/>
      <top style="thin">
        <color rgb="FFBFC9D1"/>
      </top>
      <bottom/>
      <diagonal/>
    </border>
    <border>
      <left/>
      <right style="thin">
        <color rgb="FFBFC9D1"/>
      </right>
      <top style="thin">
        <color rgb="FFBFC9D1"/>
      </top>
      <bottom/>
      <diagonal/>
    </border>
    <border>
      <left/>
      <right/>
      <top style="thin">
        <color rgb="FFBFC9D1"/>
      </top>
      <bottom style="thin">
        <color rgb="FFBFC9D1"/>
      </bottom>
      <diagonal/>
    </border>
    <border>
      <left/>
      <right style="thin">
        <color rgb="FFBFC9D1"/>
      </right>
      <top style="thin">
        <color rgb="FFBFC9D1"/>
      </top>
      <bottom style="thin">
        <color rgb="FFBFC9D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7" fillId="4" borderId="1" applyAlignment="1" pivotButton="0" quotePrefix="0" xfId="0">
      <alignment horizontal="general" vertical="top" wrapText="1"/>
    </xf>
    <xf numFmtId="0" fontId="7" fillId="3" borderId="1" applyAlignment="1" pivotButton="0" quotePrefix="0" xfId="0">
      <alignment horizontal="general" vertical="top" wrapText="1"/>
    </xf>
    <xf numFmtId="0" fontId="8" fillId="5"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7" fillId="6" borderId="1" applyAlignment="1" pivotButton="0" quotePrefix="0" xfId="0">
      <alignment horizontal="general" vertical="top" wrapText="1"/>
    </xf>
    <xf numFmtId="0" fontId="8" fillId="5" borderId="1" applyAlignment="1" pivotButton="0" quotePrefix="0" xfId="0">
      <alignment horizontal="general" vertical="top"/>
    </xf>
    <xf numFmtId="0" fontId="8" fillId="6" borderId="1" applyAlignment="1" pivotButton="0" quotePrefix="0" xfId="0">
      <alignment horizontal="general" vertical="top"/>
    </xf>
    <xf numFmtId="0" fontId="8" fillId="6" borderId="1" applyAlignment="1" pivotButton="0" quotePrefix="0" xfId="0">
      <alignment horizontal="general" vertical="top" wrapText="1"/>
    </xf>
    <xf numFmtId="0" fontId="8"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0" fillId="0" borderId="5" pivotButton="0" quotePrefix="0" xfId="0"/>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7" fillId="4" borderId="1" applyAlignment="1" pivotButton="0" quotePrefix="0" xfId="0">
      <alignment horizontal="general" vertical="top" wrapText="1"/>
    </xf>
    <xf numFmtId="0" fontId="7" fillId="3" borderId="1" applyAlignment="1" pivotButton="0" quotePrefix="0" xfId="0">
      <alignment horizontal="general" vertical="top" wrapText="1"/>
    </xf>
    <xf numFmtId="0" fontId="8" fillId="5" borderId="1" applyAlignment="1" pivotButton="0" quotePrefix="0" xfId="0">
      <alignment horizontal="general" vertical="top" wrapText="1"/>
    </xf>
    <xf numFmtId="0" fontId="8" fillId="0" borderId="1" applyAlignment="1" pivotButton="0" quotePrefix="0" xfId="0">
      <alignment horizontal="general" vertical="top" wrapText="1"/>
    </xf>
    <xf numFmtId="0" fontId="8" fillId="5" borderId="1" applyAlignment="1" pivotButton="0" quotePrefix="0" xfId="0">
      <alignment vertical="top" wrapText="1"/>
    </xf>
    <xf numFmtId="0" fontId="8" fillId="3" borderId="1" applyAlignment="1" pivotButton="0" quotePrefix="0" xfId="0">
      <alignment horizontal="general" vertical="top" wrapText="1"/>
    </xf>
    <xf numFmtId="0" fontId="7" fillId="6" borderId="1" applyAlignment="1" pivotButton="0" quotePrefix="0" xfId="0">
      <alignment horizontal="general" vertical="top" wrapText="1"/>
    </xf>
    <xf numFmtId="0" fontId="8" fillId="5" borderId="1" applyAlignment="1" pivotButton="0" quotePrefix="0" xfId="0">
      <alignment horizontal="general" vertical="top"/>
    </xf>
    <xf numFmtId="0" fontId="8" fillId="6" borderId="1" applyAlignment="1" pivotButton="0" quotePrefix="0" xfId="0">
      <alignment horizontal="general" vertical="top"/>
    </xf>
    <xf numFmtId="0" fontId="8" fillId="6" borderId="1" applyAlignment="1" pivotButton="0" quotePrefix="0" xfId="0">
      <alignment horizontal="general" vertical="top" wrapText="1"/>
    </xf>
    <xf numFmtId="0" fontId="8"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F8D7DA"/>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1"/>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2F2F2"/>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B1B2B"/>
      <rgbColor rgb="FF333300"/>
      <rgbColor rgb="FF993300"/>
      <rgbColor rgb="FF993366"/>
      <rgbColor rgb="FF333399"/>
      <rgbColor rgb="FF1F2933"/>
    </indexedColors>
  </colors>
</styleSheet>
</file>

<file path=xl/_rels/workbook.xml.rels><?xml version='1.0' encoding='utf-8'?>
<ns0:Relationships xmlns:ns0="http://schemas.openxmlformats.org/package/2006/relationships"><ns0:Relationship Type="http://schemas.openxmlformats.org/officeDocument/2006/relationships/worksheet" Target="/xl/worksheets/sheet1.xml" Id="rId1" /><ns0:Relationship Type="http://schemas.openxmlformats.org/officeDocument/2006/relationships/worksheet" Target="/xl/worksheets/sheet2.xml" Id="rId2" /><ns0:Relationship Type="http://schemas.openxmlformats.org/officeDocument/2006/relationships/worksheet" Target="/xl/worksheets/sheet3.xml" Id="rId3" /><ns0:Relationship Type="http://schemas.openxmlformats.org/officeDocument/2006/relationships/worksheet" Target="/xl/worksheets/sheet4.xml" Id="rId4" /><ns0:Relationship Type="http://schemas.openxmlformats.org/officeDocument/2006/relationships/worksheet" Target="/xl/worksheets/sheet5.xml" Id="rId5" /><ns0:Relationship Type="http://schemas.openxmlformats.org/officeDocument/2006/relationships/styles" Target="styles.xml" Id="rId6" /><ns0:Relationship Type="http://schemas.openxmlformats.org/officeDocument/2006/relationships/theme" Target="theme/theme1.xml" Id="rId7" /><ns0:Relationship Type="http://schemas.openxmlformats.org/officeDocument/2006/relationships/worksheet" Target="/xl/worksheets/sheet6.xml" Id="rId8" /></ns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4" min="1" max="1"/>
    <col width="70" customWidth="1" style="14" min="2" max="2"/>
    <col width="4" customWidth="1" style="14" min="3" max="3"/>
    <col width="6" customWidth="1" style="14" min="4" max="4"/>
    <col width="44" customWidth="1" style="14" min="5" max="5"/>
    <col width="10" customWidth="1" style="14" min="6" max="6"/>
  </cols>
  <sheetData>
    <row r="1" ht="24" customHeight="1" s="15">
      <c r="A1" s="16" t="inlineStr">
        <is>
          <t>IncuBrix Growth Engineer | Option 2: Social Media Marketing and Content Engine | Submission Workbook</t>
        </is>
      </c>
      <c r="B1" s="17" t="n"/>
      <c r="C1" s="17" t="n"/>
      <c r="D1" s="17" t="n"/>
      <c r="E1" s="17" t="n"/>
      <c r="F1" s="18" t="n"/>
    </row>
    <row r="2" ht="31.5" customHeight="1" s="15">
      <c r="A2" s="19" t="inlineStr">
        <is>
          <t>Complete tabs 00-05. YELLOW = candidate input. GREEN = calculated. GREY = guidance. Every claim needs evidence; pending human actions must remain incomplete.</t>
        </is>
      </c>
      <c r="B2" s="17" t="n"/>
      <c r="C2" s="17" t="n"/>
      <c r="D2" s="17" t="n"/>
      <c r="E2" s="17" t="n"/>
      <c r="F2" s="18" t="n"/>
    </row>
    <row r="4" ht="15" customHeight="1" s="15">
      <c r="A4" s="20" t="inlineStr">
        <is>
          <t>Candidate details and links</t>
        </is>
      </c>
      <c r="B4" s="18" t="n"/>
      <c r="D4" s="21" t="inlineStr">
        <is>
          <t>Submission checklist</t>
        </is>
      </c>
      <c r="E4" s="17" t="n"/>
      <c r="F4" s="18" t="n"/>
    </row>
    <row r="5" ht="15" customHeight="1" s="15">
      <c r="A5" s="22" t="inlineStr">
        <is>
          <t>Candidate ID (from email)</t>
        </is>
      </c>
      <c r="B5" s="23" t="n"/>
      <c r="D5" s="24" t="n">
        <v>1</v>
      </c>
      <c r="E5" s="24" t="inlineStr">
        <is>
          <t>Completed workbook</t>
        </is>
      </c>
      <c r="F5" s="23" t="inlineStr">
        <is>
          <t>No</t>
        </is>
      </c>
    </row>
    <row r="6" ht="15" customHeight="1" s="15">
      <c r="A6" s="22" t="inlineStr">
        <is>
          <t>Full name</t>
        </is>
      </c>
      <c r="B6" s="23" t="n"/>
      <c r="D6" s="24" t="n">
        <v>2</v>
      </c>
      <c r="E6" s="24" t="inlineStr">
        <is>
          <t>Main output files</t>
        </is>
      </c>
      <c r="F6" s="23" t="inlineStr">
        <is>
          <t>Yes</t>
        </is>
      </c>
    </row>
    <row r="7" ht="15" customHeight="1" s="15">
      <c r="A7" s="22" t="inlineStr">
        <is>
          <t>Registered email</t>
        </is>
      </c>
      <c r="B7" s="23" t="n"/>
      <c r="D7" s="24" t="n">
        <v>3</v>
      </c>
      <c r="E7" s="24" t="inlineStr">
        <is>
          <t>Engine repository + README</t>
        </is>
      </c>
      <c r="F7" s="23" t="inlineStr">
        <is>
          <t>Yes</t>
        </is>
      </c>
    </row>
    <row r="8" ht="15" customHeight="1" s="15">
      <c r="A8" s="22" t="inlineStr">
        <is>
          <t>College and degree</t>
        </is>
      </c>
      <c r="B8" s="23" t="n"/>
      <c r="D8" s="24" t="n">
        <v>4</v>
      </c>
      <c r="E8" s="24" t="inlineStr">
        <is>
          <t>Launch kit</t>
        </is>
      </c>
      <c r="F8" s="23" t="inlineStr">
        <is>
          <t>Yes</t>
        </is>
      </c>
    </row>
    <row r="9" ht="15" customHeight="1" s="15">
      <c r="A9" s="22" t="inlineStr">
        <is>
          <t>Assessment start (date/time)</t>
        </is>
      </c>
      <c r="B9" s="23" t="n"/>
      <c r="D9" s="24" t="n">
        <v>5</v>
      </c>
      <c r="E9" s="24" t="inlineStr">
        <is>
          <t>Both video links</t>
        </is>
      </c>
      <c r="F9" s="23" t="inlineStr">
        <is>
          <t>No</t>
        </is>
      </c>
    </row>
    <row r="10" ht="15" customHeight="1" s="15">
      <c r="A10" s="22" t="inlineStr">
        <is>
          <t>Submission time (date/time)</t>
        </is>
      </c>
      <c r="B10" s="23" t="n"/>
      <c r="D10" s="24" t="n">
        <v>6</v>
      </c>
      <c r="E10" s="24" t="inlineStr">
        <is>
          <t>Declaration accepted (row below)</t>
        </is>
      </c>
      <c r="F10" s="23" t="inlineStr">
        <is>
          <t>No</t>
        </is>
      </c>
    </row>
    <row r="11" ht="15" customHeight="1" s="15">
      <c r="A11" s="22" t="inlineStr">
        <is>
          <t>Main output folder URL</t>
        </is>
      </c>
      <c r="B11" s="23" t="n"/>
    </row>
    <row r="12" ht="15" customHeight="1" s="15">
      <c r="A12" s="22" t="inlineStr">
        <is>
          <t>Repository or workflow URL</t>
        </is>
      </c>
      <c r="B12" s="23" t="n"/>
    </row>
    <row r="13" ht="15" customHeight="1" s="15">
      <c r="A13" s="22" t="inlineStr">
        <is>
          <t>Launch kit URL</t>
        </is>
      </c>
      <c r="B13" s="23" t="n"/>
    </row>
    <row r="14" ht="23.85" customHeight="1" s="15">
      <c r="A14" s="22" t="inlineStr">
        <is>
          <t>Product walkthrough video URL (max 5 min)</t>
        </is>
      </c>
      <c r="B14" s="23" t="n"/>
    </row>
    <row r="15" ht="23.85" customHeight="1" s="15">
      <c r="A15" s="22" t="inlineStr">
        <is>
          <t>Technical demo video URL (max 8 min)</t>
        </is>
      </c>
      <c r="B15" s="23" t="n"/>
    </row>
    <row r="16" ht="110" customHeight="1" s="15">
      <c r="A16" s="22" t="inlineStr">
        <is>
          <t>AI tools, data sources and services used</t>
        </is>
      </c>
      <c r="B16" s="25" t="inlineStr">
        <is>
          <t>AI-assisted and agent-executed: Claude-supported code development, debugging, drafting, strategy, test design, workbook preparation, public-page evidence organization, and local QA execution. Human-directed: the candidate selected the option and directed requirements. Candidate-reported Windows activity is separately disclosed and remains pending attachment of its genuine log. Deterministic offline generation is not described as AI model generation.</t>
        </is>
      </c>
    </row>
    <row r="17" ht="40" customHeight="1" s="15">
      <c r="A17" s="22" t="inlineStr">
        <is>
          <t>Total money spent (if any) and on what</t>
        </is>
      </c>
      <c r="B17" s="25" t="inlineStr">
        <is>
          <t>Offline engine direct run cost: USD 0. Candidate AI subscription or personal tool costs: [CANDIDATE TO COMPLETE].</t>
        </is>
      </c>
    </row>
    <row r="18" ht="95" customHeight="1" s="15">
      <c r="A18" s="22" t="inlineStr">
        <is>
          <t>Manual work disclosed (what and how much)</t>
        </is>
      </c>
      <c r="B18" s="25" t="inlineStr">
        <is>
          <t>Candidate-reported human work: selected and directed the approach; installed/configured a Windows environment; ran Python 3.14.7, 34 tests, and a two-input deterministic-offline run; inspected paths, timestamps, UTMs, and exports. Supporting Windows log was not supplied here. Agent-executed local tests/audits are AI-assisted operations, not candidate manual work. Candidate product use, audience test, final rights/editorial approval, recordings, links, declaration, and submission remain pending.</t>
        </is>
      </c>
    </row>
    <row r="20" ht="42" customHeight="1" s="15">
      <c r="A20" s="22" t="inlineStr">
        <is>
          <t>Declaration</t>
        </is>
      </c>
      <c r="B20" s="26" t="inlineStr">
        <is>
          <t>I confirm this is my own work and that my sources, data, contacts, AI use, spending and manual work are accurately disclosed. I can explain and rerun everything.</t>
        </is>
      </c>
    </row>
    <row r="21" ht="15" customHeight="1" s="15">
      <c r="A21" s="22" t="inlineStr">
        <is>
          <t>I accept the declaration</t>
        </is>
      </c>
      <c r="B21" s="23" t="n"/>
    </row>
    <row r="23" ht="15" customHeight="1" s="15">
      <c r="A23" s="20" t="inlineStr">
        <is>
          <t>Your self-check summary (calculated from tab 04)</t>
        </is>
      </c>
      <c r="B23" s="18" t="n"/>
    </row>
    <row r="24" ht="15" customHeight="1" s="15">
      <c r="A24" s="22" t="inlineStr">
        <is>
          <t>Minimums met</t>
        </is>
      </c>
      <c r="B24" s="27">
        <f>COUNTIF(04_SELF_CHECK!F6:F12,"MET")&amp;" of 7"</f>
        <v/>
      </c>
    </row>
    <row r="25" ht="15" customHeight="1" s="15">
      <c r="A25" s="22" t="inlineStr">
        <is>
          <t>Self-score (out of 100)</t>
        </is>
      </c>
      <c r="B25" s="27">
        <f>04_SELF_CHECK!C29</f>
        <v/>
      </c>
    </row>
    <row r="26" ht="15" customHeight="1" s="15">
      <c r="A26" s="22" t="inlineStr">
        <is>
          <t>Declaration accepted</t>
        </is>
      </c>
      <c r="B26" s="27">
        <f>IF(B21="Yes","Yes","NOT YET")</f>
        <v/>
      </c>
    </row>
    <row r="27" ht="15" customHeight="1" s="15">
      <c r="A27" s="22" t="inlineStr">
        <is>
          <t>Ready to submit?</t>
        </is>
      </c>
      <c r="B27" s="27">
        <f>IF(AND(COUNTIF(04_SELF_CHECK!F6:F12,"MET")=7,B21="Yes",COUNTIF(F5:F10,"Yes")=6),"YES","NOT YET - check tabs 00 and 04")</f>
        <v/>
      </c>
    </row>
  </sheetData>
  <mergeCells count="5">
    <mergeCell ref="A4:B4"/>
    <mergeCell ref="A2:F2"/>
    <mergeCell ref="A1:F1"/>
    <mergeCell ref="D4:F4"/>
    <mergeCell ref="A23:B23"/>
  </mergeCells>
  <dataValidations count="2">
    <dataValidation sqref="F5:F10" showDropDown="0" showInputMessage="0" showErrorMessage="0" allowBlank="1" type="list" errorStyle="stop" operator="between">
      <formula1>"Yes,No"</formula1>
      <formula2>0</formula2>
    </dataValidation>
    <dataValidation sqref="B2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4" min="1" max="1"/>
    <col width="24" customWidth="1" style="14" min="2" max="2"/>
    <col width="36" customWidth="1" style="14" min="3" max="4"/>
    <col width="30" customWidth="1" style="14" min="5" max="6"/>
  </cols>
  <sheetData>
    <row r="1" ht="24" customHeight="1" s="15">
      <c r="A1" s="16" t="inlineStr">
        <is>
          <t>Product and Market Insight</t>
        </is>
      </c>
      <c r="B1" s="17" t="n"/>
      <c r="C1" s="17" t="n"/>
      <c r="D1" s="17" t="n"/>
      <c r="E1" s="17" t="n"/>
      <c r="F1" s="18" t="n"/>
    </row>
    <row r="2" ht="31.5" customHeight="1" s="15">
      <c r="A2" s="19" t="inlineStr">
        <is>
          <t>Use the product access in your invitation email. Facts need evidence; ideas must be clearly labelled as ideas.</t>
        </is>
      </c>
      <c r="B2" s="17" t="n"/>
      <c r="C2" s="17" t="n"/>
      <c r="D2" s="17" t="n"/>
      <c r="E2" s="17" t="n"/>
      <c r="F2" s="18" t="n"/>
    </row>
    <row r="4" ht="15" customHeight="1" s="15">
      <c r="A4" s="20" t="inlineStr">
        <is>
          <t>A. Five product observations</t>
        </is>
      </c>
      <c r="B4" s="17" t="n"/>
      <c r="C4" s="17" t="n"/>
      <c r="D4" s="17" t="n"/>
      <c r="E4" s="17" t="n"/>
      <c r="F4" s="18" t="n"/>
    </row>
    <row r="5" ht="30" customHeight="1" s="15">
      <c r="A5" s="21" t="inlineStr">
        <is>
          <t>#</t>
        </is>
      </c>
      <c r="B5" s="21" t="inlineStr">
        <is>
          <t>Product area</t>
        </is>
      </c>
      <c r="C5" s="21" t="inlineStr">
        <is>
          <t>What happened</t>
        </is>
      </c>
      <c r="D5" s="21" t="inlineStr">
        <is>
          <t>What worked or was difficult</t>
        </is>
      </c>
      <c r="E5" s="21" t="inlineStr">
        <is>
          <t>Evidence URL / file</t>
        </is>
      </c>
      <c r="F5" s="21" t="inlineStr">
        <is>
          <t>Why it matters for growth</t>
        </is>
      </c>
    </row>
    <row r="6" ht="114" customHeight="1" s="15">
      <c r="A6" s="24" t="n">
        <v>1</v>
      </c>
      <c r="B6" s="25" t="inlineStr">
        <is>
          <t>Homepage promise (public site; not in-app use)</t>
        </is>
      </c>
      <c r="C6" s="25" t="inlineStr">
        <is>
          <t>On 26 Oct 2026 I read the public homepage while signed out. Hero: 'IncuBrix turns one content into clips, captions, voiceovers, and posts for every platform, then publishes and tracks it all from one screen. You make the content. IncuBrix makes it travel.'</t>
        </is>
      </c>
      <c r="D6" s="25" t="inlineStr">
        <is>
          <t>Worked: a clear one-line job-to-be-done and a memorable second line. Difficult: 'one content' is a small grammar slip in the hero and the meta description. LIMIT: this is website reading, not product use; I could not sign in.</t>
        </is>
      </c>
      <c r="E6" s="25" t="inlineStr">
        <is>
          <t>https://incubrix.com/ (hero section and page meta description)</t>
        </is>
      </c>
      <c r="F6" s="25" t="inlineStr">
        <is>
          <t>Every bio, caption and ad will be judged against this line. A clean, repeatable one-liner keeps social copy consistent. IDEA (not fact): use 'one piece of content' in bios and captions.</t>
        </is>
      </c>
    </row>
    <row r="7" ht="114" customHeight="1" s="15">
      <c r="A7" s="24" t="n">
        <v>2</v>
      </c>
      <c r="B7" s="25" t="inlineStr">
        <is>
          <t>Content Performance (public site; not in-app use)</t>
        </is>
      </c>
      <c r="C7" s="25" t="inlineStr">
        <is>
          <t>The homepage lists four Creator Studio areas. Insights, Creation and Publishing are described as 'Live in Creator Studio'; Content Performance is labelled 'Coming soon' in its section while the nav says 'Rolling out now'. The demo counters show 0 Total views, 0 Engagement, 0 Growth.</t>
        </is>
      </c>
      <c r="D7" s="25" t="inlineStr">
        <is>
          <t>Worked: honest 'coming soon' label. Difficult: the nav and the section label differ, so it is unclear what is live. I could not check inside the app.</t>
        </is>
      </c>
      <c r="E7" s="25" t="inlineStr">
        <is>
          <t>https://incubrix.com/ (Content Performance section and Creator Studio menu)</t>
        </is>
      </c>
      <c r="F7" s="25" t="inlineStr">
        <is>
          <t>Social posts must not promise analytics yet. Until it ships, the plan measures with UTM links plus each platform's native analytics.</t>
        </is>
      </c>
    </row>
    <row r="8" ht="114" customHeight="1" s="15">
      <c r="A8" s="24" t="n">
        <v>3</v>
      </c>
      <c r="B8" s="25" t="inlineStr">
        <is>
          <t>Content Publishing platforms (public site; not in-app use)</t>
        </is>
      </c>
      <c r="C8" s="25" t="inlineStr">
        <is>
          <t>The Publishing section says you can schedule and post to YouTube, Instagram, LinkedIn, Spotify and Bluesky from one screen. TikTok, X, Threads and Facebook are not listed.</t>
        </is>
      </c>
      <c r="D8" s="25" t="inlineStr">
        <is>
          <t>Worked: three of the five (YouTube, Instagram, LinkedIn) are the best-fit platforms for creators and thought leaders. Difficult: X and Threads (useful for creator conversation) cannot be dogfooded with the product's own publishing.</t>
        </is>
      </c>
      <c r="E8" s="25" t="inlineStr">
        <is>
          <t>https://incubrix.com/ (Content Publishing section)</t>
        </is>
      </c>
      <c r="F8" s="25" t="inlineStr">
        <is>
          <t>IncuBrix can prove its own product by posting through it on LinkedIn, Instagram and YouTube Shorts; X and Threads stay low-priority experiments.</t>
        </is>
      </c>
    </row>
    <row r="9" ht="114" customHeight="1" s="15">
      <c r="A9" s="24" t="n">
        <v>4</v>
      </c>
      <c r="B9" s="25" t="inlineStr">
        <is>
          <t>Audience segments (public site; not in-app use)</t>
        </is>
      </c>
      <c r="C9" s="25" t="inlineStr">
        <is>
          <t>The Community section names six segments, each with a one-line promise: Podcasters ('One episode becomes clips, quotes, and posts before lunch'), YouTubers ('Your back catalog is a Shorts library waiting to happen'), Thought Leaders, Content Creators, Coaches, Founders.</t>
        </is>
      </c>
      <c r="D9" s="25" t="inlineStr">
        <is>
          <t>Worked: ready-made, concrete hooks per segment. Difficult: six segments is broad for a first-month social plan; no sign of which one converts best.</t>
        </is>
      </c>
      <c r="E9" s="25" t="inlineStr">
        <is>
          <t>https://incubrix.com/ (The Community section)</t>
        </is>
      </c>
      <c r="F9" s="25" t="inlineStr">
        <is>
          <t>These lines can be tested as hooks per segment; the first month should find the one or two segments that click most per post.</t>
        </is>
      </c>
    </row>
    <row r="10" ht="100.5" customHeight="1" s="15">
      <c r="A10" s="24" t="n">
        <v>5</v>
      </c>
      <c r="B10" s="25" t="inlineStr">
        <is>
          <t>Existing social presence (public LinkedIn audit)</t>
        </is>
      </c>
      <c r="C10" s="25" t="inlineStr">
        <is>
          <t>On 30 Oct 2026 the public LinkedIn page showed 1,236 followers. Nine exposed posts had public LikeAction counts averaging 12.7 (1.03% follower-based proxy; not a full engagement rate). Five recent exposed posts ran from 19-29 Oct after a longer visible gap. Instagram was rate-limited, so its metrics remain unavailable.</t>
        </is>
      </c>
      <c r="D10" s="25" t="inlineStr">
        <is>
          <t>Worked: posting cadence resumed and creator pain/product-category copy is consistent. Difficult: public interactions are modest and comments, shares, saves, impressions and Instagram metrics were unavailable; no full engagement rate is claimed.</t>
        </is>
      </c>
      <c r="E10" s="25" t="inlineStr">
        <is>
          <t>4_Launch_Kit/account_audit_COMPLETED.csv; 6_Evidence_and_Audit/source_research_snapshots/incubrix_linkedin_2026-10-30.html; https://www.linkedin.com/company/incubrix</t>
        </is>
      </c>
      <c r="F10" s="25" t="inlineStr">
        <is>
          <t>Use repeatable proof-led demo series, shorter hooks, and native creator examples; benchmark learning against the five peers without treating follower counts as performance proof.</t>
        </is>
      </c>
    </row>
    <row r="12" ht="15" customHeight="1" s="15">
      <c r="A12" s="20" t="inlineStr">
        <is>
          <t>B. Three biggest opportunities for Social media and content</t>
        </is>
      </c>
      <c r="B12" s="17" t="n"/>
      <c r="C12" s="17" t="n"/>
      <c r="D12" s="17" t="n"/>
      <c r="E12" s="17" t="n"/>
      <c r="F12" s="18" t="n"/>
    </row>
    <row r="13" ht="30" customHeight="1" s="15">
      <c r="A13" s="21" t="inlineStr">
        <is>
          <t>Rank</t>
        </is>
      </c>
      <c r="B13" s="21" t="inlineStr">
        <is>
          <t>Opportunity</t>
        </is>
      </c>
      <c r="C13" s="21" t="inlineStr">
        <is>
          <t>Evidence</t>
        </is>
      </c>
      <c r="D13" s="21" t="inlineStr">
        <is>
          <t>Expected impact</t>
        </is>
      </c>
      <c r="E13" s="21" t="inlineStr">
        <is>
          <t>How to measure</t>
        </is>
      </c>
      <c r="F13" s="21" t="inlineStr">
        <is>
          <t>30-day target</t>
        </is>
      </c>
    </row>
    <row r="14" ht="100.5" customHeight="1" s="15">
      <c r="A14" s="24" t="n">
        <v>1</v>
      </c>
      <c r="B14" s="25" t="inlineStr">
        <is>
          <t>Dogfood the core promise in public: a weekly 'one recording becomes a week of posts' series, 20 posts a week from one engine run</t>
        </is>
      </c>
      <c r="C14" s="25" t="inlineStr">
        <is>
          <t>Observations 1 and 3: the public site promise is repurposing and lists LinkedIn, Instagram, and YouTube publishing. Engine evidence: 20 assets from one 716-word input in 0.78 min (6_Evidence_and_Audit/FINAL_NORMAL_REPEAT_REFRESH.txt).</t>
        </is>
      </c>
      <c r="D14" s="25" t="inlineStr">
        <is>
          <t>HYPOTHESIS: steady, useful posting shows the product's job being done and gives IncuBrix a visible cadence. No baseline was available.</t>
        </is>
      </c>
      <c r="E14" s="25" t="inlineStr">
        <is>
          <t>Per asset_id UTM clicks and sign-ups (utm_content); engagement rate and reach from platform analytics; reviewed every Friday.</t>
        </is>
      </c>
      <c r="F14" s="25" t="inlineStr">
        <is>
          <t>80 posts published; 40,000 reach; &gt;=3% median engagement; 200 clicks; &gt;=20 sign-ups. Planning assumptions, reset after week 1.</t>
        </is>
      </c>
    </row>
    <row r="15" ht="73.5" customHeight="1" s="15">
      <c r="A15" s="24" t="n">
        <v>2</v>
      </c>
      <c r="B15" s="25" t="inlineStr">
        <is>
          <t>Open a YouTube Shorts channel and lead with LinkedIn + Instagram, the three platforms the product itself publishes to</t>
        </is>
      </c>
      <c r="C15" s="25" t="inlineStr">
        <is>
          <t>Observations 3 and 5: YouTube, Instagram and LinkedIn are listed publishing targets; only LinkedIn, Instagram and Facebook are linked from the site.</t>
        </is>
      </c>
      <c r="D15" s="25" t="inlineStr">
        <is>
          <t>HYPOTHESIS: reaches podcasters and YouTubers where their back catalogue lives and closes a visible gap.</t>
        </is>
      </c>
      <c r="E15" s="25" t="inlineStr">
        <is>
          <t>Views, subscribers, clicks per post by platform (utm_source), compared weekly.</t>
        </is>
      </c>
      <c r="F15" s="25" t="inlineStr">
        <is>
          <t>12 Shorts published (3 a week); a clicks-per-post comparison across LinkedIn, Instagram and Shorts by day 30; keep the best 2 platforms.</t>
        </is>
      </c>
    </row>
    <row r="16" ht="73.5" customHeight="1" s="15">
      <c r="A16" s="24" t="n">
        <v>3</v>
      </c>
      <c r="B16" s="25" t="inlineStr">
        <is>
          <t>Test segment-specific hooks (podcasters, YouTubers, coaches, founders) to find the first segment worth focusing on</t>
        </is>
      </c>
      <c r="C16" s="25" t="inlineStr">
        <is>
          <t>Observation 4: the homepage already gives one concrete promise per segment.</t>
        </is>
      </c>
      <c r="D16" s="25" t="inlineStr">
        <is>
          <t>HYPOTHESIS: one or two segments will respond more per post; focusing on them improves click and sign-up rates.</t>
        </is>
      </c>
      <c r="E16" s="25" t="inlineStr">
        <is>
          <t>Tag each test post with its segment in utm_term; compare engagement rate and clicks per post by segment.</t>
        </is>
      </c>
      <c r="F16" s="25" t="inlineStr">
        <is>
          <t>4 segments x 3 posts each in weeks 2-3; pick the top 1-2 segments by clicks per post by day 30.</t>
        </is>
      </c>
    </row>
  </sheetData>
  <mergeCells count="4">
    <mergeCell ref="A2:F2"/>
    <mergeCell ref="A1:F1"/>
    <mergeCell ref="A12:F12"/>
    <mergeCell ref="A4:F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W15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2" customWidth="1" style="14" min="1" max="1"/>
    <col width="14" customWidth="1" style="14" min="2" max="3"/>
    <col width="18" customWidth="1" style="14" min="4" max="4"/>
    <col width="34" customWidth="1" style="14" min="5" max="5"/>
    <col width="40" customWidth="1" style="14" min="6" max="6"/>
    <col width="20" customWidth="1" style="14" min="7" max="7"/>
    <col width="30" customWidth="1" style="14" min="8" max="10"/>
    <col width="22" customWidth="1" style="14" min="11" max="12"/>
    <col width="11" customWidth="1" style="14" min="13" max="14"/>
    <col width="13" customWidth="1" style="14" min="15" max="15"/>
    <col width="30" customWidth="1" style="14" min="16" max="16"/>
    <col width="13" customWidth="1" style="14" min="17" max="17"/>
    <col width="12" customWidth="1" style="14" min="18" max="18"/>
    <col width="10" customWidth="1" style="14" min="19" max="19"/>
    <col width="11" customWidth="1" style="14" min="20" max="20"/>
    <col width="24" customWidth="1" style="14" min="21" max="21"/>
    <col width="12" customWidth="1" style="14" min="22" max="22"/>
    <col width="14" customWidth="1" style="14" min="23" max="23"/>
  </cols>
  <sheetData>
    <row r="1" ht="24" customHeight="1" s="15">
      <c r="A1" s="16" t="inlineStr">
        <is>
          <t>Content Assets</t>
        </is>
      </c>
      <c r="B1" s="17" t="n"/>
      <c r="C1" s="17" t="n"/>
      <c r="D1" s="17" t="n"/>
      <c r="E1" s="17" t="n"/>
      <c r="F1" s="17" t="n"/>
      <c r="G1" s="17" t="n"/>
      <c r="H1" s="17" t="n"/>
      <c r="I1" s="17" t="n"/>
      <c r="J1" s="17" t="n"/>
      <c r="K1" s="17" t="n"/>
      <c r="L1" s="17" t="n"/>
      <c r="M1" s="17" t="n"/>
      <c r="N1" s="17" t="n"/>
      <c r="O1" s="17" t="n"/>
      <c r="P1" s="17" t="n"/>
      <c r="Q1" s="17" t="n"/>
      <c r="R1" s="17" t="n"/>
      <c r="S1" s="17" t="n"/>
      <c r="T1" s="17" t="n"/>
      <c r="U1" s="17" t="n"/>
      <c r="V1" s="17" t="n"/>
      <c r="W1" s="18" t="n"/>
    </row>
    <row r="2" ht="31.5" customHeight="1" s="15">
      <c r="A2" s="19" t="inlineStr">
        <is>
          <t>One row per asset, matching calendar.csv. Link to the final file and the editable source for each.</t>
        </is>
      </c>
      <c r="B2" s="17" t="n"/>
      <c r="C2" s="17" t="n"/>
      <c r="D2" s="17" t="n"/>
      <c r="E2" s="17" t="n"/>
      <c r="F2" s="17" t="n"/>
      <c r="G2" s="17" t="n"/>
      <c r="H2" s="17" t="n"/>
      <c r="I2" s="17" t="n"/>
      <c r="J2" s="17" t="n"/>
      <c r="K2" s="17" t="n"/>
      <c r="L2" s="17" t="n"/>
      <c r="M2" s="17" t="n"/>
      <c r="N2" s="17" t="n"/>
      <c r="O2" s="17" t="n"/>
      <c r="P2" s="17" t="n"/>
      <c r="Q2" s="17" t="n"/>
      <c r="R2" s="17" t="n"/>
      <c r="S2" s="17" t="n"/>
      <c r="T2" s="17" t="n"/>
      <c r="U2" s="17" t="n"/>
      <c r="V2" s="17" t="n"/>
      <c r="W2" s="18" t="n"/>
    </row>
    <row r="4" ht="30" customHeight="1" s="15">
      <c r="A4" s="21" t="inlineStr">
        <is>
          <t>asset_id</t>
        </is>
      </c>
      <c r="B4" s="21" t="inlineStr">
        <is>
          <t>platform</t>
        </is>
      </c>
      <c r="C4" s="21" t="inlineStr">
        <is>
          <t>format</t>
        </is>
      </c>
      <c r="D4" s="21" t="inlineStr">
        <is>
          <t>content_pillar</t>
        </is>
      </c>
      <c r="E4" s="21" t="inlineStr">
        <is>
          <t>hook</t>
        </is>
      </c>
      <c r="F4" s="21" t="inlineStr">
        <is>
          <t>caption</t>
        </is>
      </c>
      <c r="G4" s="21" t="inlineStr">
        <is>
          <t>cta</t>
        </is>
      </c>
      <c r="H4" s="21" t="inlineStr">
        <is>
          <t>utm_link</t>
        </is>
      </c>
      <c r="I4" s="21" t="inlineStr">
        <is>
          <t>final_file_url</t>
        </is>
      </c>
      <c r="J4" s="21" t="inlineStr">
        <is>
          <t>source_file_url</t>
        </is>
      </c>
      <c r="K4" s="21" t="inlineStr">
        <is>
          <t>source_input</t>
        </is>
      </c>
      <c r="L4" s="21" t="inlineStr">
        <is>
          <t>tools_used</t>
        </is>
      </c>
      <c r="M4" s="21" t="inlineStr">
        <is>
          <t>rights_checked</t>
        </is>
      </c>
      <c r="N4" s="21" t="inlineStr">
        <is>
          <t>ai_label_needed</t>
        </is>
      </c>
      <c r="O4" s="21" t="inlineStr">
        <is>
          <t>scheduled_date</t>
        </is>
      </c>
      <c r="P4" s="21" t="inlineStr">
        <is>
          <t>test_published_url</t>
        </is>
      </c>
      <c r="Q4" s="21" t="inlineStr">
        <is>
          <t>impressions_or_views</t>
        </is>
      </c>
      <c r="R4" s="21" t="inlineStr">
        <is>
          <t>engagement_rate</t>
        </is>
      </c>
      <c r="S4" s="21" t="inlineStr">
        <is>
          <t>clicks</t>
        </is>
      </c>
      <c r="T4" s="21" t="inlineStr">
        <is>
          <t>status</t>
        </is>
      </c>
      <c r="U4" s="21" t="inlineStr">
        <is>
          <t>notes</t>
        </is>
      </c>
      <c r="V4" s="21" t="inlineStr">
        <is>
          <t>duplicate_check</t>
        </is>
      </c>
      <c r="W4" s="21" t="inlineStr">
        <is>
          <t>completeness_check</t>
        </is>
      </c>
    </row>
    <row r="5" ht="15" customHeight="1" s="15">
      <c r="A5" s="28" t="inlineStr">
        <is>
          <t>EORC57-C01</t>
        </is>
      </c>
      <c r="B5" s="28" t="inlineStr">
        <is>
          <t>LinkedIn</t>
        </is>
      </c>
      <c r="C5" s="28" t="inlineStr">
        <is>
          <t>Carousel</t>
        </is>
      </c>
      <c r="D5" s="28" t="inlineStr">
        <is>
          <t>Repurposing playbooks</t>
        </is>
      </c>
      <c r="E5" s="28" t="inlineStr">
        <is>
          <t>Start by listening for claims, not topics.</t>
        </is>
      </c>
      <c r="F5" s="28" t="inlineStr">
        <is>
          <t>Start by listening for claims, not topics.
Reuse the same idea in a different shape.
Repeating an idea is not lazy when each version teaches it differently.
Save this for your next recording.
https://incubrix.com/?utm_source=linkedin&amp;utm_medium=organic_social&amp;utm_campaign=creator_engine_q4_2026&amp;utm_content=EORC57-C01&amp;utm_term=repurposing
#contentrepurposing #podcasting #contentcreator</t>
        </is>
      </c>
      <c r="G5" s="28" t="inlineStr">
        <is>
          <t>Save this for your next recording.</t>
        </is>
      </c>
      <c r="H5" s="28" t="inlineStr">
        <is>
          <t>https://incubrix.com/?utm_source=linkedin&amp;utm_medium=organic_social&amp;utm_campaign=creator_engine_q4_2026&amp;utm_content=EORC57-C01&amp;utm_term=repurposing</t>
        </is>
      </c>
      <c r="I5" s="28" t="inlineStr">
        <is>
          <t>2_Final_Content/assets/EORC57-C01/carousel.pdf</t>
        </is>
      </c>
      <c r="J5" s="28" t="inlineStr">
        <is>
          <t>2_Final_Content/source_files/EORC57-C01/spec.json</t>
        </is>
      </c>
      <c r="K5" s="28" t="inlineStr">
        <is>
          <t>episode_one_recording_a_week_of_content.md</t>
        </is>
      </c>
      <c r="L5" s="28" t="inlineStr">
        <is>
          <t>IncuBrix content engine (Python, Pillow); Inter font (SIL OFL)</t>
        </is>
      </c>
      <c r="M5" s="28" t="inlineStr">
        <is>
          <t>Pending human approval</t>
        </is>
      </c>
      <c r="N5" s="28" t="inlineStr">
        <is>
          <t>No</t>
        </is>
      </c>
      <c r="O5" s="28" t="inlineStr">
        <is>
          <t>2026-11-02 13:30</t>
        </is>
      </c>
      <c r="P5" s="28" t="n"/>
      <c r="Q5" s="28" t="n"/>
      <c r="R5" s="28" t="n"/>
      <c r="S5" s="28" t="n"/>
      <c r="T5" s="28" t="inlineStr">
        <is>
          <t>Pending human approval</t>
        </is>
      </c>
      <c r="U5" s="28" t="inlineStr">
        <is>
          <t>Technical QA passed; candidate rights, brand, editorial, and publication approval still required. Targets remain unmeasured assumptions.</t>
        </is>
      </c>
      <c r="V5" s="29">
        <f>IF(A5="","",IF(COUNTIF($A$5:$A$154,A5)&gt;1,"DUPLICATE","UNIQUE"))</f>
        <v/>
      </c>
      <c r="W5" s="29">
        <f>IF(A5="","",IF(T5="Rejected","REJECTED",IF(T5&lt;&gt;"Ready","PENDING APPROVAL",IF(AND(B5&lt;&gt;"",C5&lt;&gt;"",D5&lt;&gt;"",E5&lt;&gt;"",F5&lt;&gt;"",G5&lt;&gt;"",H5&lt;&gt;"",I5&lt;&gt;"",J5&lt;&gt;"",M5&lt;&gt;"",O5&lt;&gt;"",T5&lt;&gt;""),"COMPLETE","MISSING FIELDS"))))</f>
      </c>
    </row>
    <row r="6" ht="15" customHeight="1" s="15">
      <c r="A6" s="28" t="inlineStr">
        <is>
          <t>EORC57-C02</t>
        </is>
      </c>
      <c r="B6" s="28" t="inlineStr">
        <is>
          <t>Instagram</t>
        </is>
      </c>
      <c r="C6" s="28" t="inlineStr">
        <is>
          <t>Carousel</t>
        </is>
      </c>
      <c r="D6" s="28" t="inlineStr">
        <is>
          <t>Hooks and openings</t>
        </is>
      </c>
      <c r="E6" s="28" t="inlineStr">
        <is>
          <t>Never start a clip with a greeting.</t>
        </is>
      </c>
      <c r="F6" s="28" t="inlineStr">
        <is>
          <t>Never start a clip with a greeting.
If you ever need to fix a mistake, you can go back and cut it again.
Ask permission before you publish anyone else's voice or face.
Save this for your next recording.
https://incubrix.com/?utm_source=instagram&amp;utm_medium=organic_social&amp;utm_campaign=creator_engine_q4_2026&amp;utm_content=EORC57-C02&amp;utm_term=hooks
#videohooks #contentstrategy #shortformvideo</t>
        </is>
      </c>
      <c r="G6" s="28" t="inlineStr">
        <is>
          <t>Save this for your next recording.</t>
        </is>
      </c>
      <c r="H6" s="28" t="inlineStr">
        <is>
          <t>https://incubrix.com/?utm_source=instagram&amp;utm_medium=organic_social&amp;utm_campaign=creator_engine_q4_2026&amp;utm_content=EORC57-C02&amp;utm_term=hooks</t>
        </is>
      </c>
      <c r="I6" s="28" t="inlineStr">
        <is>
          <t>2_Final_Content/assets/EORC57-C02/carousel.pdf</t>
        </is>
      </c>
      <c r="J6" s="28" t="inlineStr">
        <is>
          <t>2_Final_Content/source_files/EORC57-C02/spec.json</t>
        </is>
      </c>
      <c r="K6" s="28" t="inlineStr">
        <is>
          <t>episode_one_recording_a_week_of_content.md</t>
        </is>
      </c>
      <c r="L6" s="28" t="inlineStr">
        <is>
          <t>IncuBrix content engine (Python, Pillow); Inter font (SIL OFL)</t>
        </is>
      </c>
      <c r="M6" s="28" t="inlineStr">
        <is>
          <t>Pending human approval</t>
        </is>
      </c>
      <c r="N6" s="28" t="inlineStr">
        <is>
          <t>No</t>
        </is>
      </c>
      <c r="O6" s="28" t="inlineStr">
        <is>
          <t>2026-11-02 17:00</t>
        </is>
      </c>
      <c r="P6" s="28" t="n"/>
      <c r="Q6" s="28" t="n"/>
      <c r="R6" s="28" t="n"/>
      <c r="S6" s="28" t="n"/>
      <c r="T6" s="28" t="inlineStr">
        <is>
          <t>Pending human approval</t>
        </is>
      </c>
      <c r="U6" s="28" t="inlineStr">
        <is>
          <t>Technical QA passed; candidate rights, brand, editorial, and publication approval still required. Targets remain unmeasured assumptions.</t>
        </is>
      </c>
      <c r="V6" s="29">
        <f>IF(A6="","",IF(COUNTIF($A$5:$A$154,A6)&gt;1,"DUPLICATE","UNIQUE"))</f>
        <v/>
      </c>
      <c r="W6" s="29">
        <f>IF(A6="","",IF(T6="Rejected","REJECTED",IF(T6&lt;&gt;"Ready","PENDING APPROVAL",IF(AND(B6&lt;&gt;"",C6&lt;&gt;"",D6&lt;&gt;"",E6&lt;&gt;"",F6&lt;&gt;"",G6&lt;&gt;"",H6&lt;&gt;"",I6&lt;&gt;"",J6&lt;&gt;"",M6&lt;&gt;"",O6&lt;&gt;"",T6&lt;&gt;""),"COMPLETE","MISSING FIELDS"))))</f>
      </c>
    </row>
    <row r="7" ht="15" customHeight="1" s="15">
      <c r="A7" s="28" t="inlineStr">
        <is>
          <t>EORC57-C03</t>
        </is>
      </c>
      <c r="B7" s="28" t="inlineStr">
        <is>
          <t>LinkedIn</t>
        </is>
      </c>
      <c r="C7" s="28" t="inlineStr">
        <is>
          <t>Carousel</t>
        </is>
      </c>
      <c r="D7" s="28" t="inlineStr">
        <is>
          <t>Creator workflow</t>
        </is>
      </c>
      <c r="E7" s="28" t="inlineStr">
        <is>
          <t>Finish every video with one clear next step.</t>
        </is>
      </c>
      <c r="F7" s="28" t="inlineStr">
        <is>
          <t>Finish every video with one clear next step.
Tell people to save it, send it to a friend or watch the full episode.
If you ask for three things, people do none of them.
Try this on your next episode and compare.
https://incubrix.com/?utm_source=linkedin&amp;utm_medium=organic_social&amp;utm_campaign=creator_engine_q4_2026&amp;utm_content=EORC57-C03&amp;utm_term=workflow
#creatorworkflow #contentcreator #productivity</t>
        </is>
      </c>
      <c r="G7" s="28" t="inlineStr">
        <is>
          <t>Try this on your next episode and compare.</t>
        </is>
      </c>
      <c r="H7" s="28" t="inlineStr">
        <is>
          <t>https://incubrix.com/?utm_source=linkedin&amp;utm_medium=organic_social&amp;utm_campaign=creator_engine_q4_2026&amp;utm_content=EORC57-C03&amp;utm_term=workflow</t>
        </is>
      </c>
      <c r="I7" s="28" t="inlineStr">
        <is>
          <t>2_Final_Content/assets/EORC57-C03/carousel.pdf</t>
        </is>
      </c>
      <c r="J7" s="28" t="inlineStr">
        <is>
          <t>2_Final_Content/source_files/EORC57-C03/spec.json</t>
        </is>
      </c>
      <c r="K7" s="28" t="inlineStr">
        <is>
          <t>episode_one_recording_a_week_of_content.md</t>
        </is>
      </c>
      <c r="L7" s="28" t="inlineStr">
        <is>
          <t>IncuBrix content engine (Python, Pillow); Inter font (SIL OFL)</t>
        </is>
      </c>
      <c r="M7" s="28" t="inlineStr">
        <is>
          <t>Pending human approval</t>
        </is>
      </c>
      <c r="N7" s="28" t="inlineStr">
        <is>
          <t>No</t>
        </is>
      </c>
      <c r="O7" s="28" t="inlineStr">
        <is>
          <t>2026-11-03 13:30</t>
        </is>
      </c>
      <c r="P7" s="28" t="n"/>
      <c r="Q7" s="28" t="n"/>
      <c r="R7" s="28" t="n"/>
      <c r="S7" s="28" t="n"/>
      <c r="T7" s="28" t="inlineStr">
        <is>
          <t>Pending human approval</t>
        </is>
      </c>
      <c r="U7" s="28" t="inlineStr">
        <is>
          <t>Technical QA passed; candidate rights, brand, editorial, and publication approval still required. Targets remain unmeasured assumptions.</t>
        </is>
      </c>
      <c r="V7" s="29">
        <f>IF(A7="","",IF(COUNTIF($A$5:$A$154,A7)&gt;1,"DUPLICATE","UNIQUE"))</f>
        <v/>
      </c>
      <c r="W7" s="29">
        <f>IF(A7="","",IF(T7="Rejected","REJECTED",IF(T7&lt;&gt;"Ready","PENDING APPROVAL",IF(AND(B7&lt;&gt;"",C7&lt;&gt;"",D7&lt;&gt;"",E7&lt;&gt;"",F7&lt;&gt;"",G7&lt;&gt;"",H7&lt;&gt;"",I7&lt;&gt;"",J7&lt;&gt;"",M7&lt;&gt;"",O7&lt;&gt;"",T7&lt;&gt;""),"COMPLETE","MISSING FIELDS"))))</f>
      </c>
    </row>
    <row r="8" ht="15" customHeight="1" s="15">
      <c r="A8" s="28" t="inlineStr">
        <is>
          <t>EORC57-C04</t>
        </is>
      </c>
      <c r="B8" s="28" t="inlineStr">
        <is>
          <t>Instagram</t>
        </is>
      </c>
      <c r="C8" s="28" t="inlineStr">
        <is>
          <t>Carousel</t>
        </is>
      </c>
      <c r="D8" s="28" t="inlineStr">
        <is>
          <t>Trust and rights</t>
        </is>
      </c>
      <c r="E8" s="28" t="inlineStr">
        <is>
          <t>A guest agreed to the full conversation, not necessarily to every clip.</t>
        </is>
      </c>
      <c r="F8" s="28" t="inlineStr">
        <is>
          <t>A guest agreed to the full conversation, not necessarily to every clip.
Ask permission before you publish anyone else's voice or face.
A quick message protects the relationship and costs nothing.
Save this for your next recording.
https://incubrix.com/?utm_source=instagram&amp;utm_medium=organic_social&amp;utm_campaign=creator_engine_q4_2026&amp;utm_content=EORC57-C04&amp;utm_term=trust
#creatoreconomy #contentcreator #podcasting</t>
        </is>
      </c>
      <c r="G8" s="28" t="inlineStr">
        <is>
          <t>Save this for your next recording.</t>
        </is>
      </c>
      <c r="H8" s="28" t="inlineStr">
        <is>
          <t>https://incubrix.com/?utm_source=instagram&amp;utm_medium=organic_social&amp;utm_campaign=creator_engine_q4_2026&amp;utm_content=EORC57-C04&amp;utm_term=trust</t>
        </is>
      </c>
      <c r="I8" s="28" t="inlineStr">
        <is>
          <t>2_Final_Content/assets/EORC57-C04/carousel.pdf</t>
        </is>
      </c>
      <c r="J8" s="28" t="inlineStr">
        <is>
          <t>2_Final_Content/source_files/EORC57-C04/spec.json</t>
        </is>
      </c>
      <c r="K8" s="28" t="inlineStr">
        <is>
          <t>episode_one_recording_a_week_of_content.md</t>
        </is>
      </c>
      <c r="L8" s="28" t="inlineStr">
        <is>
          <t>IncuBrix content engine (Python, Pillow); Inter font (SIL OFL)</t>
        </is>
      </c>
      <c r="M8" s="28" t="inlineStr">
        <is>
          <t>Pending human approval</t>
        </is>
      </c>
      <c r="N8" s="28" t="inlineStr">
        <is>
          <t>No</t>
        </is>
      </c>
      <c r="O8" s="28" t="inlineStr">
        <is>
          <t>2026-11-03 17:00</t>
        </is>
      </c>
      <c r="P8" s="28" t="n"/>
      <c r="Q8" s="28" t="n"/>
      <c r="R8" s="28" t="n"/>
      <c r="S8" s="28" t="n"/>
      <c r="T8" s="28" t="inlineStr">
        <is>
          <t>Pending human approval</t>
        </is>
      </c>
      <c r="U8" s="28" t="inlineStr">
        <is>
          <t>Technical QA passed; candidate rights, brand, editorial, and publication approval still required. Targets remain unmeasured assumptions.</t>
        </is>
      </c>
      <c r="V8" s="29">
        <f>IF(A8="","",IF(COUNTIF($A$5:$A$154,A8)&gt;1,"DUPLICATE","UNIQUE"))</f>
        <v/>
      </c>
      <c r="W8" s="29">
        <f>IF(A8="","",IF(T8="Rejected","REJECTED",IF(T8&lt;&gt;"Ready","PENDING APPROVAL",IF(AND(B8&lt;&gt;"",C8&lt;&gt;"",D8&lt;&gt;"",E8&lt;&gt;"",F8&lt;&gt;"",G8&lt;&gt;"",H8&lt;&gt;"",I8&lt;&gt;"",J8&lt;&gt;"",M8&lt;&gt;"",O8&lt;&gt;"",T8&lt;&gt;""),"COMPLETE","MISSING FIELDS"))))</f>
      </c>
    </row>
    <row r="9" ht="15" customHeight="1" s="15">
      <c r="A9" s="28" t="inlineStr">
        <is>
          <t>EORC57-G01</t>
        </is>
      </c>
      <c r="B9" s="28" t="inlineStr">
        <is>
          <t>LinkedIn</t>
        </is>
      </c>
      <c r="C9" s="28" t="inlineStr">
        <is>
          <t>Graphic</t>
        </is>
      </c>
      <c r="D9" s="28" t="inlineStr">
        <is>
          <t>Captions and editing craft</t>
        </is>
      </c>
      <c r="E9" s="28" t="inlineStr">
        <is>
          <t>Keep every short video under sixty seconds, and aim for thirty.</t>
        </is>
      </c>
      <c r="F9" s="28" t="inlineStr">
        <is>
          <t>Keep every short video under sixty seconds, and aim for thirty.
Say the surprising sentence first, then explain it.
Which one will you try first?
https://incubrix.com/?utm_source=linkedin&amp;utm_medium=organic_social&amp;utm_campaign=creator_engine_q4_2026&amp;utm_content=EORC57-G01&amp;utm_term=craft
#videoediting #captions #contentcreator</t>
        </is>
      </c>
      <c r="G9" s="28" t="inlineStr">
        <is>
          <t>Which one will you try first?</t>
        </is>
      </c>
      <c r="H9" s="28" t="inlineStr">
        <is>
          <t>https://incubrix.com/?utm_source=linkedin&amp;utm_medium=organic_social&amp;utm_campaign=creator_engine_q4_2026&amp;utm_content=EORC57-G01&amp;utm_term=craft</t>
        </is>
      </c>
      <c r="I9" s="28" t="inlineStr">
        <is>
          <t>2_Final_Content/assets/EORC57-G01/final.png</t>
        </is>
      </c>
      <c r="J9" s="28" t="inlineStr">
        <is>
          <t>2_Final_Content/source_files/EORC57-G01/spec.json</t>
        </is>
      </c>
      <c r="K9" s="28" t="inlineStr">
        <is>
          <t>episode_one_recording_a_week_of_content.md</t>
        </is>
      </c>
      <c r="L9" s="28" t="inlineStr">
        <is>
          <t>IncuBrix content engine (Python, Pillow); Inter font (SIL OFL)</t>
        </is>
      </c>
      <c r="M9" s="28" t="inlineStr">
        <is>
          <t>Pending human approval</t>
        </is>
      </c>
      <c r="N9" s="28" t="inlineStr">
        <is>
          <t>No</t>
        </is>
      </c>
      <c r="O9" s="28" t="inlineStr">
        <is>
          <t>2026-11-04 13:30</t>
        </is>
      </c>
      <c r="P9" s="28" t="n"/>
      <c r="Q9" s="28" t="n"/>
      <c r="R9" s="28" t="n"/>
      <c r="S9" s="28" t="n"/>
      <c r="T9" s="28" t="inlineStr">
        <is>
          <t>Pending human approval</t>
        </is>
      </c>
      <c r="U9" s="28" t="inlineStr">
        <is>
          <t>Technical QA passed; candidate rights, brand, editorial, and publication approval still required. Targets remain unmeasured assumptions.</t>
        </is>
      </c>
      <c r="V9" s="29">
        <f>IF(A9="","",IF(COUNTIF($A$5:$A$154,A9)&gt;1,"DUPLICATE","UNIQUE"))</f>
        <v/>
      </c>
      <c r="W9" s="29">
        <f>IF(A9="","",IF(T9="Rejected","REJECTED",IF(T9&lt;&gt;"Ready","PENDING APPROVAL",IF(AND(B9&lt;&gt;"",C9&lt;&gt;"",D9&lt;&gt;"",E9&lt;&gt;"",F9&lt;&gt;"",G9&lt;&gt;"",H9&lt;&gt;"",I9&lt;&gt;"",J9&lt;&gt;"",M9&lt;&gt;"",O9&lt;&gt;"",T9&lt;&gt;""),"COMPLETE","MISSING FIELDS"))))</f>
      </c>
    </row>
    <row r="10" ht="15" customHeight="1" s="15">
      <c r="A10" s="28" t="inlineStr">
        <is>
          <t>EORC57-G02</t>
        </is>
      </c>
      <c r="B10" s="28" t="inlineStr">
        <is>
          <t>Instagram</t>
        </is>
      </c>
      <c r="C10" s="28" t="inlineStr">
        <is>
          <t>Graphic</t>
        </is>
      </c>
      <c r="D10" s="28" t="inlineStr">
        <is>
          <t>Repurposing playbooks</t>
        </is>
      </c>
      <c r="E10" s="28" t="inlineStr">
        <is>
          <t>Reuse the same idea in a different shape.</t>
        </is>
      </c>
      <c r="F10" s="28" t="inlineStr">
        <is>
          <t>Reuse the same idea in a different shape.
A claim becomes a video on Monday, a quote card on Tuesday and a carousel on Wednesday.
Which one will you try first?
https://incubrix.com/?utm_source=instagram&amp;utm_medium=organic_social&amp;utm_campaign=creator_engine_q4_2026&amp;utm_content=EORC57-G02&amp;utm_term=repurposing
#contentrepurposing #podcasting #contentcreator</t>
        </is>
      </c>
      <c r="G10" s="28" t="inlineStr">
        <is>
          <t>Which one will you try first?</t>
        </is>
      </c>
      <c r="H10" s="28" t="inlineStr">
        <is>
          <t>https://incubrix.com/?utm_source=instagram&amp;utm_medium=organic_social&amp;utm_campaign=creator_engine_q4_2026&amp;utm_content=EORC57-G02&amp;utm_term=repurposing</t>
        </is>
      </c>
      <c r="I10" s="28" t="inlineStr">
        <is>
          <t>2_Final_Content/assets/EORC57-G02/final.png</t>
        </is>
      </c>
      <c r="J10" s="28" t="inlineStr">
        <is>
          <t>2_Final_Content/source_files/EORC57-G02/spec.json</t>
        </is>
      </c>
      <c r="K10" s="28" t="inlineStr">
        <is>
          <t>episode_one_recording_a_week_of_content.md</t>
        </is>
      </c>
      <c r="L10" s="28" t="inlineStr">
        <is>
          <t>IncuBrix content engine (Python, Pillow); Inter font (SIL OFL)</t>
        </is>
      </c>
      <c r="M10" s="28" t="inlineStr">
        <is>
          <t>Pending human approval</t>
        </is>
      </c>
      <c r="N10" s="28" t="inlineStr">
        <is>
          <t>No</t>
        </is>
      </c>
      <c r="O10" s="28" t="inlineStr">
        <is>
          <t>2026-11-04 17:00</t>
        </is>
      </c>
      <c r="P10" s="28" t="n"/>
      <c r="Q10" s="28" t="n"/>
      <c r="R10" s="28" t="n"/>
      <c r="S10" s="28" t="n"/>
      <c r="T10" s="28" t="inlineStr">
        <is>
          <t>Pending human approval</t>
        </is>
      </c>
      <c r="U10" s="28" t="inlineStr">
        <is>
          <t>Technical QA passed; candidate rights, brand, editorial, and publication approval still required. Targets remain unmeasured assumptions.</t>
        </is>
      </c>
      <c r="V10" s="29">
        <f>IF(A10="","",IF(COUNTIF($A$5:$A$154,A10)&gt;1,"DUPLICATE","UNIQUE"))</f>
        <v/>
      </c>
      <c r="W10" s="29">
        <f>IF(A10="","",IF(T10="Rejected","REJECTED",IF(T10&lt;&gt;"Ready","PENDING APPROVAL",IF(AND(B10&lt;&gt;"",C10&lt;&gt;"",D10&lt;&gt;"",E10&lt;&gt;"",F10&lt;&gt;"",G10&lt;&gt;"",H10&lt;&gt;"",I10&lt;&gt;"",J10&lt;&gt;"",M10&lt;&gt;"",O10&lt;&gt;"",T10&lt;&gt;""),"COMPLETE","MISSING FIELDS"))))</f>
      </c>
    </row>
    <row r="11" ht="15" customHeight="1" s="15">
      <c r="A11" s="28" t="inlineStr">
        <is>
          <t>EORC57-G03</t>
        </is>
      </c>
      <c r="B11" s="28" t="inlineStr">
        <is>
          <t>X</t>
        </is>
      </c>
      <c r="C11" s="28" t="inlineStr">
        <is>
          <t>Graphic</t>
        </is>
      </c>
      <c r="D11" s="28" t="inlineStr">
        <is>
          <t>Repurposing playbooks</t>
        </is>
      </c>
      <c r="E11" s="28" t="inlineStr">
        <is>
          <t>Instagram viewers want a visual and a quick idea.</t>
        </is>
      </c>
      <c r="F11" s="28" t="inlineStr">
        <is>
          <t>Instagram viewers want a visual and a quick idea.
Start on the sentence that makes your guest lean forward.
Send this to the person who edits your content.
https://incubrix.com/?utm_source=x&amp;utm_medium=organic_social&amp;utm_campaign=creator_engine_q4_2026&amp;utm_content=EORC57-G03&amp;utm_term=repurposing
#contentrepurposing #podcasting</t>
        </is>
      </c>
      <c r="G11" s="28" t="inlineStr">
        <is>
          <t>Send this to the person who edits your content.</t>
        </is>
      </c>
      <c r="H11" s="28" t="inlineStr">
        <is>
          <t>https://incubrix.com/?utm_source=x&amp;utm_medium=organic_social&amp;utm_campaign=creator_engine_q4_2026&amp;utm_content=EORC57-G03&amp;utm_term=repurposing</t>
        </is>
      </c>
      <c r="I11" s="28" t="inlineStr">
        <is>
          <t>2_Final_Content/assets/EORC57-G03/final.png</t>
        </is>
      </c>
      <c r="J11" s="28" t="inlineStr">
        <is>
          <t>2_Final_Content/source_files/EORC57-G03/spec.json</t>
        </is>
      </c>
      <c r="K11" s="28" t="inlineStr">
        <is>
          <t>episode_one_recording_a_week_of_content.md</t>
        </is>
      </c>
      <c r="L11" s="28" t="inlineStr">
        <is>
          <t>IncuBrix content engine (Python, Pillow); Inter font (SIL OFL)</t>
        </is>
      </c>
      <c r="M11" s="28" t="inlineStr">
        <is>
          <t>Pending human approval</t>
        </is>
      </c>
      <c r="N11" s="28" t="inlineStr">
        <is>
          <t>No</t>
        </is>
      </c>
      <c r="O11" s="28" t="inlineStr">
        <is>
          <t>2026-11-02 14:00</t>
        </is>
      </c>
      <c r="P11" s="28" t="n"/>
      <c r="Q11" s="28" t="n"/>
      <c r="R11" s="28" t="n"/>
      <c r="S11" s="28" t="n"/>
      <c r="T11" s="28" t="inlineStr">
        <is>
          <t>Pending human approval</t>
        </is>
      </c>
      <c r="U11" s="28" t="inlineStr">
        <is>
          <t>Technical QA passed; candidate rights, brand, editorial, and publication approval still required. Targets remain unmeasured assumptions.</t>
        </is>
      </c>
      <c r="V11" s="29">
        <f>IF(A11="","",IF(COUNTIF($A$5:$A$154,A11)&gt;1,"DUPLICATE","UNIQUE"))</f>
        <v/>
      </c>
      <c r="W11" s="29">
        <f>IF(A11="","",IF(T11="Rejected","REJECTED",IF(T11&lt;&gt;"Ready","PENDING APPROVAL",IF(AND(B11&lt;&gt;"",C11&lt;&gt;"",D11&lt;&gt;"",E11&lt;&gt;"",F11&lt;&gt;"",G11&lt;&gt;"",H11&lt;&gt;"",I11&lt;&gt;"",J11&lt;&gt;"",M11&lt;&gt;"",O11&lt;&gt;"",T11&lt;&gt;""),"COMPLETE","MISSING FIELDS"))))</f>
      </c>
    </row>
    <row r="12" ht="15" customHeight="1" s="15">
      <c r="A12" s="28" t="inlineStr">
        <is>
          <t>EORC57-G04</t>
        </is>
      </c>
      <c r="B12" s="28" t="inlineStr">
        <is>
          <t>Threads</t>
        </is>
      </c>
      <c r="C12" s="28" t="inlineStr">
        <is>
          <t>Graphic</t>
        </is>
      </c>
      <c r="D12" s="28" t="inlineStr">
        <is>
          <t>Repurposing playbooks</t>
        </is>
      </c>
      <c r="E12" s="28" t="inlineStr">
        <is>
          <t>Scan the recording in five minute windows.</t>
        </is>
      </c>
      <c r="F12" s="28" t="inlineStr">
        <is>
          <t>Scan the recording in five minute windows.
Keep every short video under sixty seconds, and aim for thirty.
Which one will you try first?
https://incubrix.com/?utm_source=threads&amp;utm_medium=organic_social&amp;utm_campaign=creator_engine_q4_2026&amp;utm_content=EORC57-G04&amp;utm_term=repurposing
#contentrepurposing</t>
        </is>
      </c>
      <c r="G12" s="28" t="inlineStr">
        <is>
          <t>Which one will you try first?</t>
        </is>
      </c>
      <c r="H12" s="28" t="inlineStr">
        <is>
          <t>https://incubrix.com/?utm_source=threads&amp;utm_medium=organic_social&amp;utm_campaign=creator_engine_q4_2026&amp;utm_content=EORC57-G04&amp;utm_term=repurposing</t>
        </is>
      </c>
      <c r="I12" s="28" t="inlineStr">
        <is>
          <t>2_Final_Content/assets/EORC57-G04/final.png</t>
        </is>
      </c>
      <c r="J12" s="28" t="inlineStr">
        <is>
          <t>2_Final_Content/source_files/EORC57-G04/spec.json</t>
        </is>
      </c>
      <c r="K12" s="28" t="inlineStr">
        <is>
          <t>episode_one_recording_a_week_of_content.md</t>
        </is>
      </c>
      <c r="L12" s="28" t="inlineStr">
        <is>
          <t>IncuBrix content engine (Python, Pillow); Inter font (SIL OFL)</t>
        </is>
      </c>
      <c r="M12" s="28" t="inlineStr">
        <is>
          <t>Pending human approval</t>
        </is>
      </c>
      <c r="N12" s="28" t="inlineStr">
        <is>
          <t>No</t>
        </is>
      </c>
      <c r="O12" s="28" t="inlineStr">
        <is>
          <t>2026-11-02 18:00</t>
        </is>
      </c>
      <c r="P12" s="28" t="n"/>
      <c r="Q12" s="28" t="n"/>
      <c r="R12" s="28" t="n"/>
      <c r="S12" s="28" t="n"/>
      <c r="T12" s="28" t="inlineStr">
        <is>
          <t>Pending human approval</t>
        </is>
      </c>
      <c r="U12" s="28" t="inlineStr">
        <is>
          <t>Technical QA passed; candidate rights, brand, editorial, and publication approval still required. Targets remain unmeasured assumptions.</t>
        </is>
      </c>
      <c r="V12" s="29">
        <f>IF(A12="","",IF(COUNTIF($A$5:$A$154,A12)&gt;1,"DUPLICATE","UNIQUE"))</f>
        <v/>
      </c>
      <c r="W12" s="29">
        <f>IF(A12="","",IF(T12="Rejected","REJECTED",IF(T12&lt;&gt;"Ready","PENDING APPROVAL",IF(AND(B12&lt;&gt;"",C12&lt;&gt;"",D12&lt;&gt;"",E12&lt;&gt;"",F12&lt;&gt;"",G12&lt;&gt;"",H12&lt;&gt;"",I12&lt;&gt;"",J12&lt;&gt;"",M12&lt;&gt;"",O12&lt;&gt;"",T12&lt;&gt;""),"COMPLETE","MISSING FIELDS"))))</f>
      </c>
    </row>
    <row r="13" ht="15" customHeight="1" s="15">
      <c r="A13" s="28" t="inlineStr">
        <is>
          <t>EORC57-T01</t>
        </is>
      </c>
      <c r="B13" s="28" t="inlineStr">
        <is>
          <t>LinkedIn</t>
        </is>
      </c>
      <c r="C13" s="28" t="inlineStr">
        <is>
          <t>Text post</t>
        </is>
      </c>
      <c r="D13" s="28" t="inlineStr">
        <is>
          <t>Repurposing playbooks</t>
        </is>
      </c>
      <c r="E13" s="28" t="inlineStr">
        <is>
          <t>The goal is to make each recording travel further.</t>
        </is>
      </c>
      <c r="F13" s="28" t="inlineStr">
        <is>
          <t>The goal is to make each recording travel further.
Add captions to every video, because most people watch with the sound off.
Check each caption against the audio before you publish, because a wrong word destroys trust quickly.
Which one will you try first?
https://incubrix.com/?utm_source=linkedin&amp;utm_medium=organic_social&amp;utm_campaign=creator_engine_q4_2026&amp;utm_content=EORC57-T01&amp;utm_term=repurposing
#contentrepurposing #podcasting #contentcreator</t>
        </is>
      </c>
      <c r="G13" s="28" t="inlineStr">
        <is>
          <t>Which one will you try first?</t>
        </is>
      </c>
      <c r="H13" s="28" t="inlineStr">
        <is>
          <t>https://incubrix.com/?utm_source=linkedin&amp;utm_medium=organic_social&amp;utm_campaign=creator_engine_q4_2026&amp;utm_content=EORC57-T01&amp;utm_term=repurposing</t>
        </is>
      </c>
      <c r="I13" s="28" t="inlineStr">
        <is>
          <t>2_Final_Content/assets/EORC57-T01/final.txt</t>
        </is>
      </c>
      <c r="J13" s="28" t="inlineStr">
        <is>
          <t>2_Final_Content/source_files/EORC57-T01/spec.json</t>
        </is>
      </c>
      <c r="K13" s="28" t="inlineStr">
        <is>
          <t>episode_one_recording_a_week_of_content.md</t>
        </is>
      </c>
      <c r="L13" s="28" t="inlineStr">
        <is>
          <t>IncuBrix content engine (Python)</t>
        </is>
      </c>
      <c r="M13" s="28" t="inlineStr">
        <is>
          <t>Pending human approval</t>
        </is>
      </c>
      <c r="N13" s="28" t="inlineStr">
        <is>
          <t>No</t>
        </is>
      </c>
      <c r="O13" s="28" t="inlineStr">
        <is>
          <t>2026-11-05 13:30</t>
        </is>
      </c>
      <c r="P13" s="28" t="n"/>
      <c r="Q13" s="28" t="n"/>
      <c r="R13" s="28" t="n"/>
      <c r="S13" s="28" t="n"/>
      <c r="T13" s="28" t="inlineStr">
        <is>
          <t>Pending human approval</t>
        </is>
      </c>
      <c r="U13" s="28" t="inlineStr">
        <is>
          <t>Technical QA passed; candidate rights, brand, editorial, and publication approval still required. Targets remain unmeasured assumptions.</t>
        </is>
      </c>
      <c r="V13" s="29">
        <f>IF(A13="","",IF(COUNTIF($A$5:$A$154,A13)&gt;1,"DUPLICATE","UNIQUE"))</f>
        <v/>
      </c>
      <c r="W13" s="29">
        <f>IF(A13="","",IF(T13="Rejected","REJECTED",IF(T13&lt;&gt;"Ready","PENDING APPROVAL",IF(AND(B13&lt;&gt;"",C13&lt;&gt;"",D13&lt;&gt;"",E13&lt;&gt;"",F13&lt;&gt;"",G13&lt;&gt;"",H13&lt;&gt;"",I13&lt;&gt;"",J13&lt;&gt;"",M13&lt;&gt;"",O13&lt;&gt;"",T13&lt;&gt;""),"COMPLETE","MISSING FIELDS"))))</f>
      </c>
    </row>
    <row r="14" ht="15" customHeight="1" s="15">
      <c r="A14" s="28" t="inlineStr">
        <is>
          <t>EORC57-T02</t>
        </is>
      </c>
      <c r="B14" s="28" t="inlineStr">
        <is>
          <t>X</t>
        </is>
      </c>
      <c r="C14" s="28" t="inlineStr">
        <is>
          <t>Text post</t>
        </is>
      </c>
      <c r="D14" s="28" t="inlineStr">
        <is>
          <t>Creator workflow</t>
        </is>
      </c>
      <c r="E14" s="28" t="inlineStr">
        <is>
          <t>The goal is not to post more.</t>
        </is>
      </c>
      <c r="F14" s="28" t="inlineStr">
        <is>
          <t>The goal is not to post more.
Write the first line of the caption last.
The first line is the only part most people read.
Send this to the person who edits your content.
https://incubrix.com/?utm_source=x&amp;utm_medium=organic_social&amp;utm_campaign=creator_engine_q4_2026&amp;utm_content=EORC57-T02&amp;utm_term=workflow
#creatorworkflow #contentcreator</t>
        </is>
      </c>
      <c r="G14" s="28" t="inlineStr">
        <is>
          <t>Send this to the person who edits your content.</t>
        </is>
      </c>
      <c r="H14" s="28" t="inlineStr">
        <is>
          <t>https://incubrix.com/?utm_source=x&amp;utm_medium=organic_social&amp;utm_campaign=creator_engine_q4_2026&amp;utm_content=EORC57-T02&amp;utm_term=workflow</t>
        </is>
      </c>
      <c r="I14" s="28" t="inlineStr">
        <is>
          <t>2_Final_Content/assets/EORC57-T02/final.txt</t>
        </is>
      </c>
      <c r="J14" s="28" t="inlineStr">
        <is>
          <t>2_Final_Content/source_files/EORC57-T02/spec.json</t>
        </is>
      </c>
      <c r="K14" s="28" t="inlineStr">
        <is>
          <t>episode_one_recording_a_week_of_content.md</t>
        </is>
      </c>
      <c r="L14" s="28" t="inlineStr">
        <is>
          <t>IncuBrix content engine (Python)</t>
        </is>
      </c>
      <c r="M14" s="28" t="inlineStr">
        <is>
          <t>Pending human approval</t>
        </is>
      </c>
      <c r="N14" s="28" t="inlineStr">
        <is>
          <t>No</t>
        </is>
      </c>
      <c r="O14" s="28" t="inlineStr">
        <is>
          <t>2026-11-03 14:00</t>
        </is>
      </c>
      <c r="P14" s="28" t="n"/>
      <c r="Q14" s="28" t="n"/>
      <c r="R14" s="28" t="n"/>
      <c r="S14" s="28" t="n"/>
      <c r="T14" s="28" t="inlineStr">
        <is>
          <t>Pending human approval</t>
        </is>
      </c>
      <c r="U14" s="28" t="inlineStr">
        <is>
          <t>Technical QA passed; candidate rights, brand, editorial, and publication approval still required. Targets remain unmeasured assumptions.</t>
        </is>
      </c>
      <c r="V14" s="29">
        <f>IF(A14="","",IF(COUNTIF($A$5:$A$154,A14)&gt;1,"DUPLICATE","UNIQUE"))</f>
        <v/>
      </c>
      <c r="W14" s="29">
        <f>IF(A14="","",IF(T14="Rejected","REJECTED",IF(T14&lt;&gt;"Ready","PENDING APPROVAL",IF(AND(B14&lt;&gt;"",C14&lt;&gt;"",D14&lt;&gt;"",E14&lt;&gt;"",F14&lt;&gt;"",G14&lt;&gt;"",H14&lt;&gt;"",I14&lt;&gt;"",J14&lt;&gt;"",M14&lt;&gt;"",O14&lt;&gt;"",T14&lt;&gt;""),"COMPLETE","MISSING FIELDS"))))</f>
      </c>
    </row>
    <row r="15" ht="15" customHeight="1" s="15">
      <c r="A15" s="28" t="inlineStr">
        <is>
          <t>EORC57-T03</t>
        </is>
      </c>
      <c r="B15" s="28" t="inlineStr">
        <is>
          <t>Threads</t>
        </is>
      </c>
      <c r="C15" s="28" t="inlineStr">
        <is>
          <t>Text post</t>
        </is>
      </c>
      <c r="D15" s="28" t="inlineStr">
        <is>
          <t>Creator workflow</t>
        </is>
      </c>
      <c r="E15" s="28" t="inlineStr">
        <is>
          <t>Track one number per post, not ten.</t>
        </is>
      </c>
      <c r="F15" s="28" t="inlineStr">
        <is>
          <t>Track one number per post, not ten.
Give each platform its own version instead of posting the same file everywhere.
Instagram viewers want a visual and a quick idea.
Pick one idea and ship it this week.
https://incubrix.com/?utm_source=threads&amp;utm_medium=organic_social&amp;utm_campaign=creator_engine_q4_2026&amp;utm_content=EORC57-T03&amp;utm_term=workflow
#creatorworkflow</t>
        </is>
      </c>
      <c r="G15" s="28" t="inlineStr">
        <is>
          <t>Pick one idea and ship it this week.</t>
        </is>
      </c>
      <c r="H15" s="28" t="inlineStr">
        <is>
          <t>https://incubrix.com/?utm_source=threads&amp;utm_medium=organic_social&amp;utm_campaign=creator_engine_q4_2026&amp;utm_content=EORC57-T03&amp;utm_term=workflow</t>
        </is>
      </c>
      <c r="I15" s="28" t="inlineStr">
        <is>
          <t>2_Final_Content/assets/EORC57-T03/final.txt</t>
        </is>
      </c>
      <c r="J15" s="28" t="inlineStr">
        <is>
          <t>2_Final_Content/source_files/EORC57-T03/spec.json</t>
        </is>
      </c>
      <c r="K15" s="28" t="inlineStr">
        <is>
          <t>episode_one_recording_a_week_of_content.md</t>
        </is>
      </c>
      <c r="L15" s="28" t="inlineStr">
        <is>
          <t>IncuBrix content engine (Python)</t>
        </is>
      </c>
      <c r="M15" s="28" t="inlineStr">
        <is>
          <t>Pending human approval</t>
        </is>
      </c>
      <c r="N15" s="28" t="inlineStr">
        <is>
          <t>No</t>
        </is>
      </c>
      <c r="O15" s="28" t="inlineStr">
        <is>
          <t>2026-11-03 18:00</t>
        </is>
      </c>
      <c r="P15" s="28" t="n"/>
      <c r="Q15" s="28" t="n"/>
      <c r="R15" s="28" t="n"/>
      <c r="S15" s="28" t="n"/>
      <c r="T15" s="28" t="inlineStr">
        <is>
          <t>Pending human approval</t>
        </is>
      </c>
      <c r="U15" s="28" t="inlineStr">
        <is>
          <t>Technical QA passed; candidate rights, brand, editorial, and publication approval still required. Targets remain unmeasured assumptions.</t>
        </is>
      </c>
      <c r="V15" s="29">
        <f>IF(A15="","",IF(COUNTIF($A$5:$A$154,A15)&gt;1,"DUPLICATE","UNIQUE"))</f>
        <v/>
      </c>
      <c r="W15" s="29">
        <f>IF(A15="","",IF(T15="Rejected","REJECTED",IF(T15&lt;&gt;"Ready","PENDING APPROVAL",IF(AND(B15&lt;&gt;"",C15&lt;&gt;"",D15&lt;&gt;"",E15&lt;&gt;"",F15&lt;&gt;"",G15&lt;&gt;"",H15&lt;&gt;"",I15&lt;&gt;"",J15&lt;&gt;"",M15&lt;&gt;"",O15&lt;&gt;"",T15&lt;&gt;""),"COMPLETE","MISSING FIELDS"))))</f>
      </c>
    </row>
    <row r="16" ht="15" customHeight="1" s="15">
      <c r="A16" s="28" t="inlineStr">
        <is>
          <t>EORC57-T04</t>
        </is>
      </c>
      <c r="B16" s="28" t="inlineStr">
        <is>
          <t>LinkedIn</t>
        </is>
      </c>
      <c r="C16" s="28" t="inlineStr">
        <is>
          <t>Text post</t>
        </is>
      </c>
      <c r="D16" s="28" t="inlineStr">
        <is>
          <t>Repurposing playbooks</t>
        </is>
      </c>
      <c r="E16" s="28" t="inlineStr">
        <is>
          <t>Do not post everything on day one.</t>
        </is>
      </c>
      <c r="F16" s="28" t="inlineStr">
        <is>
          <t>Do not post everything on day one.
The idea can be the same while the packaging changes.
A carousel lets someone save the idea and come back to it later.
Send this to the person who edits your content.
https://incubrix.com/?utm_source=linkedin&amp;utm_medium=organic_social&amp;utm_campaign=creator_engine_q4_2026&amp;utm_content=EORC57-T04&amp;utm_term=repurposing
#contentrepurposing #podcasting #contentcreator</t>
        </is>
      </c>
      <c r="G16" s="28" t="inlineStr">
        <is>
          <t>Send this to the person who edits your content.</t>
        </is>
      </c>
      <c r="H16" s="28" t="inlineStr">
        <is>
          <t>https://incubrix.com/?utm_source=linkedin&amp;utm_medium=organic_social&amp;utm_campaign=creator_engine_q4_2026&amp;utm_content=EORC57-T04&amp;utm_term=repurposing</t>
        </is>
      </c>
      <c r="I16" s="28" t="inlineStr">
        <is>
          <t>2_Final_Content/assets/EORC57-T04/final.txt</t>
        </is>
      </c>
      <c r="J16" s="28" t="inlineStr">
        <is>
          <t>2_Final_Content/source_files/EORC57-T04/spec.json</t>
        </is>
      </c>
      <c r="K16" s="28" t="inlineStr">
        <is>
          <t>episode_one_recording_a_week_of_content.md</t>
        </is>
      </c>
      <c r="L16" s="28" t="inlineStr">
        <is>
          <t>IncuBrix content engine (Python)</t>
        </is>
      </c>
      <c r="M16" s="28" t="inlineStr">
        <is>
          <t>Pending human approval</t>
        </is>
      </c>
      <c r="N16" s="28" t="inlineStr">
        <is>
          <t>No</t>
        </is>
      </c>
      <c r="O16" s="28" t="inlineStr">
        <is>
          <t>2026-11-06 13:30</t>
        </is>
      </c>
      <c r="P16" s="28" t="n"/>
      <c r="Q16" s="28" t="n"/>
      <c r="R16" s="28" t="n"/>
      <c r="S16" s="28" t="n"/>
      <c r="T16" s="28" t="inlineStr">
        <is>
          <t>Pending human approval</t>
        </is>
      </c>
      <c r="U16" s="28" t="inlineStr">
        <is>
          <t>Technical QA passed; candidate rights, brand, editorial, and publication approval still required. Targets remain unmeasured assumptions.</t>
        </is>
      </c>
      <c r="V16" s="29">
        <f>IF(A16="","",IF(COUNTIF($A$5:$A$154,A16)&gt;1,"DUPLICATE","UNIQUE"))</f>
        <v/>
      </c>
      <c r="W16" s="29">
        <f>IF(A16="","",IF(T16="Rejected","REJECTED",IF(T16&lt;&gt;"Ready","PENDING APPROVAL",IF(AND(B16&lt;&gt;"",C16&lt;&gt;"",D16&lt;&gt;"",E16&lt;&gt;"",F16&lt;&gt;"",G16&lt;&gt;"",H16&lt;&gt;"",I16&lt;&gt;"",J16&lt;&gt;"",M16&lt;&gt;"",O16&lt;&gt;"",T16&lt;&gt;""),"COMPLETE","MISSING FIELDS"))))</f>
      </c>
    </row>
    <row r="17" ht="15" customHeight="1" s="15">
      <c r="A17" s="28" t="inlineStr">
        <is>
          <t>EORC57-V01</t>
        </is>
      </c>
      <c r="B17" s="28" t="inlineStr">
        <is>
          <t>Instagram</t>
        </is>
      </c>
      <c r="C17" s="28" t="inlineStr">
        <is>
          <t>Short video</t>
        </is>
      </c>
      <c r="D17" s="28" t="inlineStr">
        <is>
          <t>Captions and editing craft</t>
        </is>
      </c>
      <c r="E17" s="28" t="inlineStr">
        <is>
          <t>The first line is the only part most people read.</t>
        </is>
      </c>
      <c r="F17" s="28" t="inlineStr">
        <is>
          <t>The first line is the only part most people read.
Most creators publish one long episode and then move on to the next one.
Start by listening for claims, not topics.
Send this to the person who edits your content.
https://incubrix.com/?utm_source=instagram&amp;utm_medium=organic_social&amp;utm_campaign=creator_engine_q4_2026&amp;utm_content=EORC57-V01&amp;utm_term=craft
#videoediting #captions #contentcreator</t>
        </is>
      </c>
      <c r="G17" s="28" t="inlineStr">
        <is>
          <t>Send this to the person who edits your content.</t>
        </is>
      </c>
      <c r="H17" s="28" t="inlineStr">
        <is>
          <t>https://incubrix.com/?utm_source=instagram&amp;utm_medium=organic_social&amp;utm_campaign=creator_engine_q4_2026&amp;utm_content=EORC57-V01&amp;utm_term=craft</t>
        </is>
      </c>
      <c r="I17" s="28" t="inlineStr">
        <is>
          <t>2_Final_Content/assets/EORC57-V01/final.mp4</t>
        </is>
      </c>
      <c r="J17" s="28" t="inlineStr">
        <is>
          <t>2_Final_Content/source_files/EORC57-V01/spec.json</t>
        </is>
      </c>
      <c r="K17" s="28" t="inlineStr">
        <is>
          <t>episode_one_recording_a_week_of_content.md</t>
        </is>
      </c>
      <c r="L17" s="28" t="inlineStr">
        <is>
          <t>IncuBrix content engine (Python, Pillow, ffmpeg); Inter font (SIL OFL)</t>
        </is>
      </c>
      <c r="M17" s="28" t="inlineStr">
        <is>
          <t>Pending human approval</t>
        </is>
      </c>
      <c r="N17" s="28" t="inlineStr">
        <is>
          <t>No</t>
        </is>
      </c>
      <c r="O17" s="28" t="inlineStr">
        <is>
          <t>2026-11-05 17:00</t>
        </is>
      </c>
      <c r="P17" s="28" t="n"/>
      <c r="Q17" s="28" t="n"/>
      <c r="R17" s="28" t="n"/>
      <c r="S17" s="28" t="n"/>
      <c r="T17" s="28" t="inlineStr">
        <is>
          <t>Pending human approval</t>
        </is>
      </c>
      <c r="U17" s="28" t="inlineStr">
        <is>
          <t>Technical QA passed; candidate rights, brand, editorial, and publication approval still required. Targets remain unmeasured assumptions.</t>
        </is>
      </c>
      <c r="V17" s="29">
        <f>IF(A17="","",IF(COUNTIF($A$5:$A$154,A17)&gt;1,"DUPLICATE","UNIQUE"))</f>
        <v/>
      </c>
      <c r="W17" s="29">
        <f>IF(A17="","",IF(T17="Rejected","REJECTED",IF(T17&lt;&gt;"Ready","PENDING APPROVAL",IF(AND(B17&lt;&gt;"",C17&lt;&gt;"",D17&lt;&gt;"",E17&lt;&gt;"",F17&lt;&gt;"",G17&lt;&gt;"",H17&lt;&gt;"",I17&lt;&gt;"",J17&lt;&gt;"",M17&lt;&gt;"",O17&lt;&gt;"",T17&lt;&gt;""),"COMPLETE","MISSING FIELDS"))))</f>
      </c>
    </row>
    <row r="18" ht="15" customHeight="1" s="15">
      <c r="A18" s="28" t="inlineStr">
        <is>
          <t>EORC57-V02</t>
        </is>
      </c>
      <c r="B18" s="28" t="inlineStr">
        <is>
          <t>YouTube Shorts</t>
        </is>
      </c>
      <c r="C18" s="28" t="inlineStr">
        <is>
          <t>Short video</t>
        </is>
      </c>
      <c r="D18" s="28" t="inlineStr">
        <is>
          <t>Hooks and openings</t>
        </is>
      </c>
      <c r="E18" s="28" t="inlineStr">
        <is>
          <t>Claims make people stop scrolling because they create tension.</t>
        </is>
      </c>
      <c r="F18" s="28" t="inlineStr">
        <is>
          <t>Claims make people stop scrolling because they create tension.
Scan the recording in five minute windows.
An hour of audio gives you twelve windows, and each window usually holds one strong idea.
Try this on your next episode and compare.
https://incubrix.com/?utm_source=youtube_shorts&amp;utm_medium=organic_social&amp;utm_campaign=creator_engine_q4_2026&amp;utm_content=EORC57-V02&amp;utm_term=hooks
#videohooks #contentstrategy #shortformvideo</t>
        </is>
      </c>
      <c r="G18" s="28" t="inlineStr">
        <is>
          <t>Try this on your next episode and compare.</t>
        </is>
      </c>
      <c r="H18" s="28" t="inlineStr">
        <is>
          <t>https://incubrix.com/?utm_source=youtube_shorts&amp;utm_medium=organic_social&amp;utm_campaign=creator_engine_q4_2026&amp;utm_content=EORC57-V02&amp;utm_term=hooks</t>
        </is>
      </c>
      <c r="I18" s="28" t="inlineStr">
        <is>
          <t>2_Final_Content/assets/EORC57-V02/final.mp4</t>
        </is>
      </c>
      <c r="J18" s="28" t="inlineStr">
        <is>
          <t>2_Final_Content/source_files/EORC57-V02/spec.json</t>
        </is>
      </c>
      <c r="K18" s="28" t="inlineStr">
        <is>
          <t>episode_one_recording_a_week_of_content.md</t>
        </is>
      </c>
      <c r="L18" s="28" t="inlineStr">
        <is>
          <t>IncuBrix content engine (Python, Pillow, ffmpeg); Inter font (SIL OFL)</t>
        </is>
      </c>
      <c r="M18" s="28" t="inlineStr">
        <is>
          <t>Pending human approval</t>
        </is>
      </c>
      <c r="N18" s="28" t="inlineStr">
        <is>
          <t>No</t>
        </is>
      </c>
      <c r="O18" s="28" t="inlineStr">
        <is>
          <t>2026-11-02 16:00</t>
        </is>
      </c>
      <c r="P18" s="28" t="n"/>
      <c r="Q18" s="28" t="n"/>
      <c r="R18" s="28" t="n"/>
      <c r="S18" s="28" t="n"/>
      <c r="T18" s="28" t="inlineStr">
        <is>
          <t>Pending human approval</t>
        </is>
      </c>
      <c r="U18" s="28" t="inlineStr">
        <is>
          <t>Technical QA passed; candidate rights, brand, editorial, and publication approval still required. Targets remain unmeasured assumptions.</t>
        </is>
      </c>
      <c r="V18" s="29">
        <f>IF(A18="","",IF(COUNTIF($A$5:$A$154,A18)&gt;1,"DUPLICATE","UNIQUE"))</f>
        <v/>
      </c>
      <c r="W18" s="29">
        <f>IF(A18="","",IF(T18="Rejected","REJECTED",IF(T18&lt;&gt;"Ready","PENDING APPROVAL",IF(AND(B18&lt;&gt;"",C18&lt;&gt;"",D18&lt;&gt;"",E18&lt;&gt;"",F18&lt;&gt;"",G18&lt;&gt;"",H18&lt;&gt;"",I18&lt;&gt;"",J18&lt;&gt;"",M18&lt;&gt;"",O18&lt;&gt;"",T18&lt;&gt;""),"COMPLETE","MISSING FIELDS"))))</f>
      </c>
    </row>
    <row r="19" ht="15" customHeight="1" s="15">
      <c r="A19" s="28" t="inlineStr">
        <is>
          <t>EORC57-V03</t>
        </is>
      </c>
      <c r="B19" s="28" t="inlineStr">
        <is>
          <t>LinkedIn</t>
        </is>
      </c>
      <c r="C19" s="28" t="inlineStr">
        <is>
          <t>Short video</t>
        </is>
      </c>
      <c r="D19" s="28" t="inlineStr">
        <is>
          <t>Hooks and openings</t>
        </is>
      </c>
      <c r="E19" s="28" t="inlineStr">
        <is>
          <t>Nobody needs your name before they know why the clip matters.</t>
        </is>
      </c>
      <c r="F19" s="28" t="inlineStr">
        <is>
          <t>Nobody needs your name before they know why the clip matters.
If a clip answers two questions, cut it in half.
Viewers should know what they will learn within the first two seconds.
Send this to the person who edits your content.
https://incubrix.com/?utm_source=linkedin&amp;utm_medium=organic_social&amp;utm_campaign=creator_engine_q4_2026&amp;utm_content=EORC57-V03&amp;utm_term=hooks
#videohooks #contentstrategy #shortformvideo</t>
        </is>
      </c>
      <c r="G19" s="28" t="inlineStr">
        <is>
          <t>Send this to the person who edits your content.</t>
        </is>
      </c>
      <c r="H19" s="28" t="inlineStr">
        <is>
          <t>https://incubrix.com/?utm_source=linkedin&amp;utm_medium=organic_social&amp;utm_campaign=creator_engine_q4_2026&amp;utm_content=EORC57-V03&amp;utm_term=hooks</t>
        </is>
      </c>
      <c r="I19" s="28" t="inlineStr">
        <is>
          <t>2_Final_Content/assets/EORC57-V03/final.mp4</t>
        </is>
      </c>
      <c r="J19" s="28" t="inlineStr">
        <is>
          <t>2_Final_Content/source_files/EORC57-V03/spec.json</t>
        </is>
      </c>
      <c r="K19" s="28" t="inlineStr">
        <is>
          <t>episode_one_recording_a_week_of_content.md</t>
        </is>
      </c>
      <c r="L19" s="28" t="inlineStr">
        <is>
          <t>IncuBrix content engine (Python, Pillow, ffmpeg); Inter font (SIL OFL)</t>
        </is>
      </c>
      <c r="M19" s="28" t="inlineStr">
        <is>
          <t>Pending human approval</t>
        </is>
      </c>
      <c r="N19" s="28" t="inlineStr">
        <is>
          <t>No</t>
        </is>
      </c>
      <c r="O19" s="28" t="inlineStr">
        <is>
          <t>2026-11-09 13:30</t>
        </is>
      </c>
      <c r="P19" s="28" t="n"/>
      <c r="Q19" s="28" t="n"/>
      <c r="R19" s="28" t="n"/>
      <c r="S19" s="28" t="n"/>
      <c r="T19" s="28" t="inlineStr">
        <is>
          <t>Pending human approval</t>
        </is>
      </c>
      <c r="U19" s="28" t="inlineStr">
        <is>
          <t>Technical QA passed; candidate rights, brand, editorial, and publication approval still required. Targets remain unmeasured assumptions.</t>
        </is>
      </c>
      <c r="V19" s="29">
        <f>IF(A19="","",IF(COUNTIF($A$5:$A$154,A19)&gt;1,"DUPLICATE","UNIQUE"))</f>
        <v/>
      </c>
      <c r="W19" s="29">
        <f>IF(A19="","",IF(T19="Rejected","REJECTED",IF(T19&lt;&gt;"Ready","PENDING APPROVAL",IF(AND(B19&lt;&gt;"",C19&lt;&gt;"",D19&lt;&gt;"",E19&lt;&gt;"",F19&lt;&gt;"",G19&lt;&gt;"",H19&lt;&gt;"",I19&lt;&gt;"",J19&lt;&gt;"",M19&lt;&gt;"",O19&lt;&gt;"",T19&lt;&gt;""),"COMPLETE","MISSING FIELDS"))))</f>
      </c>
    </row>
    <row r="20" ht="15" customHeight="1" s="15">
      <c r="A20" s="28" t="inlineStr">
        <is>
          <t>EORC57-V04</t>
        </is>
      </c>
      <c r="B20" s="28" t="inlineStr">
        <is>
          <t>X</t>
        </is>
      </c>
      <c r="C20" s="28" t="inlineStr">
        <is>
          <t>Short video</t>
        </is>
      </c>
      <c r="D20" s="28" t="inlineStr">
        <is>
          <t>Captions and editing craft</t>
        </is>
      </c>
      <c r="E20" s="28" t="inlineStr">
        <is>
          <t>Write the first line of the caption last.</t>
        </is>
      </c>
      <c r="F20" s="28" t="inlineStr">
        <is>
          <t>Write the first line of the caption last.
Never start a clip with a greeting.
Start on the sentence that makes your guest lean forward.
Try this on your next episode and compare.
https://incubrix.com/?utm_source=x&amp;utm_medium=organic_social&amp;utm_campaign=creator_engine_q4_2026&amp;utm_content=EORC57-V04&amp;utm_term=craft
#videoediting #captions</t>
        </is>
      </c>
      <c r="G20" s="28" t="inlineStr">
        <is>
          <t>Try this on your next episode and compare.</t>
        </is>
      </c>
      <c r="H20" s="28" t="inlineStr">
        <is>
          <t>https://incubrix.com/?utm_source=x&amp;utm_medium=organic_social&amp;utm_campaign=creator_engine_q4_2026&amp;utm_content=EORC57-V04&amp;utm_term=craft</t>
        </is>
      </c>
      <c r="I20" s="28" t="inlineStr">
        <is>
          <t>2_Final_Content/assets/EORC57-V04/final.mp4</t>
        </is>
      </c>
      <c r="J20" s="28" t="inlineStr">
        <is>
          <t>2_Final_Content/source_files/EORC57-V04/spec.json</t>
        </is>
      </c>
      <c r="K20" s="28" t="inlineStr">
        <is>
          <t>episode_one_recording_a_week_of_content.md</t>
        </is>
      </c>
      <c r="L20" s="28" t="inlineStr">
        <is>
          <t>IncuBrix content engine (Python, Pillow, ffmpeg); Inter font (SIL OFL)</t>
        </is>
      </c>
      <c r="M20" s="28" t="inlineStr">
        <is>
          <t>Pending human approval</t>
        </is>
      </c>
      <c r="N20" s="28" t="inlineStr">
        <is>
          <t>No</t>
        </is>
      </c>
      <c r="O20" s="28" t="inlineStr">
        <is>
          <t>2026-11-04 14:00</t>
        </is>
      </c>
      <c r="P20" s="28" t="n"/>
      <c r="Q20" s="28" t="n"/>
      <c r="R20" s="28" t="n"/>
      <c r="S20" s="28" t="n"/>
      <c r="T20" s="28" t="inlineStr">
        <is>
          <t>Pending human approval</t>
        </is>
      </c>
      <c r="U20" s="28" t="inlineStr">
        <is>
          <t>Technical QA passed; candidate rights, brand, editorial, and publication approval still required. Targets remain unmeasured assumptions.</t>
        </is>
      </c>
      <c r="V20" s="29">
        <f>IF(A20="","",IF(COUNTIF($A$5:$A$154,A20)&gt;1,"DUPLICATE","UNIQUE"))</f>
        <v/>
      </c>
      <c r="W20" s="29">
        <f>IF(A20="","",IF(T20="Rejected","REJECTED",IF(T20&lt;&gt;"Ready","PENDING APPROVAL",IF(AND(B20&lt;&gt;"",C20&lt;&gt;"",D20&lt;&gt;"",E20&lt;&gt;"",F20&lt;&gt;"",G20&lt;&gt;"",H20&lt;&gt;"",I20&lt;&gt;"",J20&lt;&gt;"",M20&lt;&gt;"",O20&lt;&gt;"",T20&lt;&gt;""),"COMPLETE","MISSING FIELDS"))))</f>
      </c>
    </row>
    <row r="21" ht="15" customHeight="1" s="15">
      <c r="A21" s="28" t="inlineStr">
        <is>
          <t>EORC57-V05</t>
        </is>
      </c>
      <c r="B21" s="28" t="inlineStr">
        <is>
          <t>Instagram</t>
        </is>
      </c>
      <c r="C21" s="28" t="inlineStr">
        <is>
          <t>Short video</t>
        </is>
      </c>
      <c r="D21" s="28" t="inlineStr">
        <is>
          <t>Hooks and openings</t>
        </is>
      </c>
      <c r="E21" s="28" t="inlineStr">
        <is>
          <t>Viewers should know what they will learn within the first two seconds.</t>
        </is>
      </c>
      <c r="F21" s="28" t="inlineStr">
        <is>
          <t>Viewers should know what they will learn within the first two seconds.
Add captions to every video, because most people watch with the sound off.
Check each caption against the audio before you publish, because a wrong word destroys trust quickly.
Try this on your next episode and compare.
https://incubrix.com/?utm_source=instagram&amp;utm_medium=organic_social&amp;utm_campaign=creator_engine_q4_2026&amp;utm_content=EORC57-V05&amp;utm_term=hooks
#videohooks #contentstrategy #shortformvideo</t>
        </is>
      </c>
      <c r="G21" s="28" t="inlineStr">
        <is>
          <t>Try this on your next episode and compare.</t>
        </is>
      </c>
      <c r="H21" s="28" t="inlineStr">
        <is>
          <t>https://incubrix.com/?utm_source=instagram&amp;utm_medium=organic_social&amp;utm_campaign=creator_engine_q4_2026&amp;utm_content=EORC57-V05&amp;utm_term=hooks</t>
        </is>
      </c>
      <c r="I21" s="28" t="inlineStr">
        <is>
          <t>2_Final_Content/assets/EORC57-V05/final.mp4</t>
        </is>
      </c>
      <c r="J21" s="28" t="inlineStr">
        <is>
          <t>2_Final_Content/source_files/EORC57-V05/spec.json</t>
        </is>
      </c>
      <c r="K21" s="28" t="inlineStr">
        <is>
          <t>episode_one_recording_a_week_of_content.md</t>
        </is>
      </c>
      <c r="L21" s="28" t="inlineStr">
        <is>
          <t>IncuBrix content engine (Python, Pillow, ffmpeg); Inter font (SIL OFL)</t>
        </is>
      </c>
      <c r="M21" s="28" t="inlineStr">
        <is>
          <t>Pending human approval</t>
        </is>
      </c>
      <c r="N21" s="28" t="inlineStr">
        <is>
          <t>No</t>
        </is>
      </c>
      <c r="O21" s="28" t="inlineStr">
        <is>
          <t>2026-11-06 17:00</t>
        </is>
      </c>
      <c r="P21" s="28" t="n"/>
      <c r="Q21" s="28" t="n"/>
      <c r="R21" s="28" t="n"/>
      <c r="S21" s="28" t="n"/>
      <c r="T21" s="28" t="inlineStr">
        <is>
          <t>Pending human approval</t>
        </is>
      </c>
      <c r="U21" s="28" t="inlineStr">
        <is>
          <t>Technical QA passed; candidate rights, brand, editorial, and publication approval still required. Targets remain unmeasured assumptions.</t>
        </is>
      </c>
      <c r="V21" s="29">
        <f>IF(A21="","",IF(COUNTIF($A$5:$A$154,A21)&gt;1,"DUPLICATE","UNIQUE"))</f>
        <v/>
      </c>
      <c r="W21" s="29">
        <f>IF(A21="","",IF(T21="Rejected","REJECTED",IF(T21&lt;&gt;"Ready","PENDING APPROVAL",IF(AND(B21&lt;&gt;"",C21&lt;&gt;"",D21&lt;&gt;"",E21&lt;&gt;"",F21&lt;&gt;"",G21&lt;&gt;"",H21&lt;&gt;"",I21&lt;&gt;"",J21&lt;&gt;"",M21&lt;&gt;"",O21&lt;&gt;"",T21&lt;&gt;""),"COMPLETE","MISSING FIELDS"))))</f>
      </c>
    </row>
    <row r="22" ht="15" customHeight="1" s="15">
      <c r="A22" s="28" t="inlineStr">
        <is>
          <t>EORC57-V06</t>
        </is>
      </c>
      <c r="B22" s="28" t="inlineStr">
        <is>
          <t>YouTube Shorts</t>
        </is>
      </c>
      <c r="C22" s="28" t="inlineStr">
        <is>
          <t>Short video</t>
        </is>
      </c>
      <c r="D22" s="28" t="inlineStr">
        <is>
          <t>Trust and rights</t>
        </is>
      </c>
      <c r="E22" s="28" t="inlineStr">
        <is>
          <t>Ask permission before you publish anyone else's voice or face.</t>
        </is>
      </c>
      <c r="F22" s="28" t="inlineStr">
        <is>
          <t>Ask permission before you publish anyone else's voice or face.
A guest agreed to the full conversation, not necessarily to every clip.
A quick message protects the relationship and costs nothing.
Try this on your next episode and compare.
https://incubrix.com/?utm_source=youtube_shorts&amp;utm_medium=organic_social&amp;utm_campaign=creator_engine_q4_2026&amp;utm_content=EORC57-V06&amp;utm_term=trust
#creatoreconomy #contentcreator #podcasting</t>
        </is>
      </c>
      <c r="G22" s="28" t="inlineStr">
        <is>
          <t>Try this on your next episode and compare.</t>
        </is>
      </c>
      <c r="H22" s="28" t="inlineStr">
        <is>
          <t>https://incubrix.com/?utm_source=youtube_shorts&amp;utm_medium=organic_social&amp;utm_campaign=creator_engine_q4_2026&amp;utm_content=EORC57-V06&amp;utm_term=trust</t>
        </is>
      </c>
      <c r="I22" s="28" t="inlineStr">
        <is>
          <t>2_Final_Content/assets/EORC57-V06/final.mp4</t>
        </is>
      </c>
      <c r="J22" s="28" t="inlineStr">
        <is>
          <t>2_Final_Content/source_files/EORC57-V06/spec.json</t>
        </is>
      </c>
      <c r="K22" s="28" t="inlineStr">
        <is>
          <t>episode_one_recording_a_week_of_content.md</t>
        </is>
      </c>
      <c r="L22" s="28" t="inlineStr">
        <is>
          <t>IncuBrix content engine (Python, Pillow, ffmpeg); Inter font (SIL OFL)</t>
        </is>
      </c>
      <c r="M22" s="28" t="inlineStr">
        <is>
          <t>Pending human approval</t>
        </is>
      </c>
      <c r="N22" s="28" t="inlineStr">
        <is>
          <t>No</t>
        </is>
      </c>
      <c r="O22" s="28" t="inlineStr">
        <is>
          <t>2026-11-03 16:00</t>
        </is>
      </c>
      <c r="P22" s="28" t="n"/>
      <c r="Q22" s="28" t="n"/>
      <c r="R22" s="28" t="n"/>
      <c r="S22" s="28" t="n"/>
      <c r="T22" s="28" t="inlineStr">
        <is>
          <t>Pending human approval</t>
        </is>
      </c>
      <c r="U22" s="28" t="inlineStr">
        <is>
          <t>Technical QA passed; candidate rights, brand, editorial, and publication approval still required. Targets remain unmeasured assumptions.</t>
        </is>
      </c>
      <c r="V22" s="29">
        <f>IF(A22="","",IF(COUNTIF($A$5:$A$154,A22)&gt;1,"DUPLICATE","UNIQUE"))</f>
        <v/>
      </c>
      <c r="W22" s="29">
        <f>IF(A22="","",IF(T22="Rejected","REJECTED",IF(T22&lt;&gt;"Ready","PENDING APPROVAL",IF(AND(B22&lt;&gt;"",C22&lt;&gt;"",D22&lt;&gt;"",E22&lt;&gt;"",F22&lt;&gt;"",G22&lt;&gt;"",H22&lt;&gt;"",I22&lt;&gt;"",J22&lt;&gt;"",M22&lt;&gt;"",O22&lt;&gt;"",T22&lt;&gt;""),"COMPLETE","MISSING FIELDS"))))</f>
      </c>
    </row>
    <row r="23" ht="15" customHeight="1" s="15">
      <c r="A23" s="28" t="inlineStr">
        <is>
          <t>EORC57-V07</t>
        </is>
      </c>
      <c r="B23" s="28" t="inlineStr">
        <is>
          <t>LinkedIn</t>
        </is>
      </c>
      <c r="C23" s="28" t="inlineStr">
        <is>
          <t>Short video</t>
        </is>
      </c>
      <c r="D23" s="28" t="inlineStr">
        <is>
          <t>Creator workflow</t>
        </is>
      </c>
      <c r="E23" s="28" t="inlineStr">
        <is>
          <t>Write down which clips worked and why.</t>
        </is>
      </c>
      <c r="F23" s="28" t="inlineStr">
        <is>
          <t>Write down which clips worked and why.
The idea can be the same while the packaging changes.
A carousel lets someone save the idea and come back to it later.
Save this for your next recording.
https://incubrix.com/?utm_source=linkedin&amp;utm_medium=organic_social&amp;utm_campaign=creator_engine_q4_2026&amp;utm_content=EORC57-V07&amp;utm_term=workflow
#creatorworkflow #contentcreator #productivity</t>
        </is>
      </c>
      <c r="G23" s="28" t="inlineStr">
        <is>
          <t>Save this for your next recording.</t>
        </is>
      </c>
      <c r="H23" s="28" t="inlineStr">
        <is>
          <t>https://incubrix.com/?utm_source=linkedin&amp;utm_medium=organic_social&amp;utm_campaign=creator_engine_q4_2026&amp;utm_content=EORC57-V07&amp;utm_term=workflow</t>
        </is>
      </c>
      <c r="I23" s="28" t="inlineStr">
        <is>
          <t>2_Final_Content/assets/EORC57-V07/final.mp4</t>
        </is>
      </c>
      <c r="J23" s="28" t="inlineStr">
        <is>
          <t>2_Final_Content/source_files/EORC57-V07/spec.json</t>
        </is>
      </c>
      <c r="K23" s="28" t="inlineStr">
        <is>
          <t>episode_one_recording_a_week_of_content.md</t>
        </is>
      </c>
      <c r="L23" s="28" t="inlineStr">
        <is>
          <t>IncuBrix content engine (Python, Pillow, ffmpeg); Inter font (SIL OFL)</t>
        </is>
      </c>
      <c r="M23" s="28" t="inlineStr">
        <is>
          <t>Pending human approval</t>
        </is>
      </c>
      <c r="N23" s="28" t="inlineStr">
        <is>
          <t>No</t>
        </is>
      </c>
      <c r="O23" s="28" t="inlineStr">
        <is>
          <t>2026-11-09 13:30</t>
        </is>
      </c>
      <c r="P23" s="28" t="n"/>
      <c r="Q23" s="28" t="n"/>
      <c r="R23" s="28" t="n"/>
      <c r="S23" s="28" t="n"/>
      <c r="T23" s="28" t="inlineStr">
        <is>
          <t>Pending human approval</t>
        </is>
      </c>
      <c r="U23" s="28" t="inlineStr">
        <is>
          <t>Technical QA passed; candidate rights, brand, editorial, and publication approval still required. Targets remain unmeasured assumptions.</t>
        </is>
      </c>
      <c r="V23" s="29">
        <f>IF(A23="","",IF(COUNTIF($A$5:$A$154,A23)&gt;1,"DUPLICATE","UNIQUE"))</f>
        <v/>
      </c>
      <c r="W23" s="29">
        <f>IF(A23="","",IF(T23="Rejected","REJECTED",IF(T23&lt;&gt;"Ready","PENDING APPROVAL",IF(AND(B23&lt;&gt;"",C23&lt;&gt;"",D23&lt;&gt;"",E23&lt;&gt;"",F23&lt;&gt;"",G23&lt;&gt;"",H23&lt;&gt;"",I23&lt;&gt;"",J23&lt;&gt;"",M23&lt;&gt;"",O23&lt;&gt;"",T23&lt;&gt;""),"COMPLETE","MISSING FIELDS"))))</f>
      </c>
    </row>
    <row r="24" ht="15" customHeight="1" s="15">
      <c r="A24" s="28" t="inlineStr">
        <is>
          <t>EORC57-V08</t>
        </is>
      </c>
      <c r="B24" s="28" t="inlineStr">
        <is>
          <t>X</t>
        </is>
      </c>
      <c r="C24" s="28" t="inlineStr">
        <is>
          <t>Short video</t>
        </is>
      </c>
      <c r="D24" s="28" t="inlineStr">
        <is>
          <t>Hooks and openings</t>
        </is>
      </c>
      <c r="E24" s="28" t="inlineStr">
        <is>
          <t>Start on the sentence that makes your guest lean forward.</t>
        </is>
      </c>
      <c r="F24" s="28" t="inlineStr">
        <is>
          <t>Start on the sentence that makes your guest lean forward.
If a slide needs a paragraph, it is two slides.
The last slide should tell people what to do next.
Which one will you try first?
https://incubrix.com/?utm_source=x&amp;utm_medium=organic_social&amp;utm_campaign=creator_engine_q4_2026&amp;utm_content=EORC57-V08&amp;utm_term=hooks
#videohooks #contentstrategy</t>
        </is>
      </c>
      <c r="G24" s="28" t="inlineStr">
        <is>
          <t>Which one will you try first?</t>
        </is>
      </c>
      <c r="H24" s="28" t="inlineStr">
        <is>
          <t>https://incubrix.com/?utm_source=x&amp;utm_medium=organic_social&amp;utm_campaign=creator_engine_q4_2026&amp;utm_content=EORC57-V08&amp;utm_term=hooks</t>
        </is>
      </c>
      <c r="I24" s="28" t="inlineStr">
        <is>
          <t>2_Final_Content/assets/EORC57-V08/final.mp4</t>
        </is>
      </c>
      <c r="J24" s="28" t="inlineStr">
        <is>
          <t>2_Final_Content/source_files/EORC57-V08/spec.json</t>
        </is>
      </c>
      <c r="K24" s="28" t="inlineStr">
        <is>
          <t>episode_one_recording_a_week_of_content.md</t>
        </is>
      </c>
      <c r="L24" s="28" t="inlineStr">
        <is>
          <t>IncuBrix content engine (Python, Pillow, ffmpeg); Inter font (SIL OFL)</t>
        </is>
      </c>
      <c r="M24" s="28" t="inlineStr">
        <is>
          <t>Pending human approval</t>
        </is>
      </c>
      <c r="N24" s="28" t="inlineStr">
        <is>
          <t>No</t>
        </is>
      </c>
      <c r="O24" s="28" t="inlineStr">
        <is>
          <t>2026-11-05 14:00</t>
        </is>
      </c>
      <c r="P24" s="28" t="n"/>
      <c r="Q24" s="28" t="n"/>
      <c r="R24" s="28" t="n"/>
      <c r="S24" s="28" t="n"/>
      <c r="T24" s="28" t="inlineStr">
        <is>
          <t>Pending human approval</t>
        </is>
      </c>
      <c r="U24" s="28" t="inlineStr">
        <is>
          <t>Technical QA passed; candidate rights, brand, editorial, and publication approval still required. Targets remain unmeasured assumptions.</t>
        </is>
      </c>
      <c r="V24" s="29">
        <f>IF(A24="","",IF(COUNTIF($A$5:$A$154,A24)&gt;1,"DUPLICATE","UNIQUE"))</f>
        <v/>
      </c>
      <c r="W24" s="29">
        <f>IF(A24="","",IF(T24="Rejected","REJECTED",IF(T24&lt;&gt;"Ready","PENDING APPROVAL",IF(AND(B24&lt;&gt;"",C24&lt;&gt;"",D24&lt;&gt;"",E24&lt;&gt;"",F24&lt;&gt;"",G24&lt;&gt;"",H24&lt;&gt;"",I24&lt;&gt;"",J24&lt;&gt;"",M24&lt;&gt;"",O24&lt;&gt;"",T24&lt;&gt;""),"COMPLETE","MISSING FIELDS"))))</f>
      </c>
    </row>
    <row r="25" ht="15" customHeight="1" s="15">
      <c r="A25" s="28" t="inlineStr">
        <is>
          <t>ETH2D2-C01</t>
        </is>
      </c>
      <c r="B25" s="28" t="inlineStr">
        <is>
          <t>LinkedIn</t>
        </is>
      </c>
      <c r="C25" s="28" t="inlineStr">
        <is>
          <t>Carousel</t>
        </is>
      </c>
      <c r="D25" s="28" t="inlineStr">
        <is>
          <t>Hooks and openings</t>
        </is>
      </c>
      <c r="E25" s="28" t="inlineStr">
        <is>
          <t>A number tells people how long the idea will take.</t>
        </is>
      </c>
      <c r="F25" s="28" t="inlineStr">
        <is>
          <t>A number tells people how long the idea will take.
If you change the hook and the thumbnail together, you will not know which one worked.
Compare posts of the same format only.
Save this for your next recording.
https://incubrix.com/?utm_source=linkedin&amp;utm_medium=organic_social&amp;utm_campaign=creator_engine_q4_2026&amp;utm_content=ETH2D2-C01&amp;utm_term=hooks
#videohooks #contentstrategy #shortformvideo</t>
        </is>
      </c>
      <c r="G25" s="28" t="inlineStr">
        <is>
          <t>Save this for your next recording.</t>
        </is>
      </c>
      <c r="H25" s="28" t="inlineStr">
        <is>
          <t>https://incubrix.com/?utm_source=linkedin&amp;utm_medium=organic_social&amp;utm_campaign=creator_engine_q4_2026&amp;utm_content=ETH2D2-C01&amp;utm_term=hooks</t>
        </is>
      </c>
      <c r="I25" s="28" t="inlineStr">
        <is>
          <t>2_Final_Content/assets/ETH2D2-C01/carousel.pdf</t>
        </is>
      </c>
      <c r="J25" s="28" t="inlineStr">
        <is>
          <t>2_Final_Content/source_files/ETH2D2-C01/spec.json</t>
        </is>
      </c>
      <c r="K25" s="28" t="inlineStr">
        <is>
          <t>episode_two_hooks_and_captions.md</t>
        </is>
      </c>
      <c r="L25" s="28" t="inlineStr">
        <is>
          <t>IncuBrix content engine (Python, Pillow); Inter font (SIL OFL)</t>
        </is>
      </c>
      <c r="M25" s="28" t="inlineStr">
        <is>
          <t>Pending human approval</t>
        </is>
      </c>
      <c r="N25" s="28" t="inlineStr">
        <is>
          <t>No</t>
        </is>
      </c>
      <c r="O25" s="28" t="inlineStr">
        <is>
          <t>2026-11-09 13:30</t>
        </is>
      </c>
      <c r="P25" s="28" t="n"/>
      <c r="Q25" s="28" t="n"/>
      <c r="R25" s="28" t="n"/>
      <c r="S25" s="28" t="n"/>
      <c r="T25" s="28" t="inlineStr">
        <is>
          <t>Pending human approval</t>
        </is>
      </c>
      <c r="U25" s="28" t="inlineStr">
        <is>
          <t>Technical QA passed; candidate rights, brand, editorial, and publication approval still required. Targets remain unmeasured assumptions.</t>
        </is>
      </c>
      <c r="V25" s="29">
        <f>IF(A25="","",IF(COUNTIF($A$5:$A$154,A25)&gt;1,"DUPLICATE","UNIQUE"))</f>
        <v/>
      </c>
      <c r="W25" s="29">
        <f>IF(A25="","",IF(T25="Rejected","REJECTED",IF(T25&lt;&gt;"Ready","PENDING APPROVAL",IF(AND(B25&lt;&gt;"",C25&lt;&gt;"",D25&lt;&gt;"",E25&lt;&gt;"",F25&lt;&gt;"",G25&lt;&gt;"",H25&lt;&gt;"",I25&lt;&gt;"",J25&lt;&gt;"",M25&lt;&gt;"",O25&lt;&gt;"",T25&lt;&gt;""),"COMPLETE","MISSING FIELDS"))))</f>
      </c>
    </row>
    <row r="26" ht="15" customHeight="1" s="15">
      <c r="A26" s="28" t="inlineStr">
        <is>
          <t>ETH2D2-C02</t>
        </is>
      </c>
      <c r="B26" s="28" t="inlineStr">
        <is>
          <t>Instagram</t>
        </is>
      </c>
      <c r="C26" s="28" t="inlineStr">
        <is>
          <t>Carousel</t>
        </is>
      </c>
      <c r="D26" s="28" t="inlineStr">
        <is>
          <t>Hooks and openings</t>
        </is>
      </c>
      <c r="E26" s="28" t="inlineStr">
        <is>
          <t>Lead with the problem your viewer already has.</t>
        </is>
      </c>
      <c r="F26" s="28" t="inlineStr">
        <is>
          <t>Lead with the problem your viewer already has.
The first version is usually a description.
The third version is usually a promise.
Save this for your next recording.
https://incubrix.com/?utm_source=instagram&amp;utm_medium=organic_social&amp;utm_campaign=creator_engine_q4_2026&amp;utm_content=ETH2D2-C02&amp;utm_term=hooks
#videohooks #contentstrategy #shortformvideo</t>
        </is>
      </c>
      <c r="G26" s="28" t="inlineStr">
        <is>
          <t>Save this for your next recording.</t>
        </is>
      </c>
      <c r="H26" s="28" t="inlineStr">
        <is>
          <t>https://incubrix.com/?utm_source=instagram&amp;utm_medium=organic_social&amp;utm_campaign=creator_engine_q4_2026&amp;utm_content=ETH2D2-C02&amp;utm_term=hooks</t>
        </is>
      </c>
      <c r="I26" s="28" t="inlineStr">
        <is>
          <t>2_Final_Content/assets/ETH2D2-C02/carousel.pdf</t>
        </is>
      </c>
      <c r="J26" s="28" t="inlineStr">
        <is>
          <t>2_Final_Content/source_files/ETH2D2-C02/spec.json</t>
        </is>
      </c>
      <c r="K26" s="28" t="inlineStr">
        <is>
          <t>episode_two_hooks_and_captions.md</t>
        </is>
      </c>
      <c r="L26" s="28" t="inlineStr">
        <is>
          <t>IncuBrix content engine (Python, Pillow); Inter font (SIL OFL)</t>
        </is>
      </c>
      <c r="M26" s="28" t="inlineStr">
        <is>
          <t>Pending human approval</t>
        </is>
      </c>
      <c r="N26" s="28" t="inlineStr">
        <is>
          <t>No</t>
        </is>
      </c>
      <c r="O26" s="28" t="inlineStr">
        <is>
          <t>2026-11-09 17:00</t>
        </is>
      </c>
      <c r="P26" s="28" t="n"/>
      <c r="Q26" s="28" t="n"/>
      <c r="R26" s="28" t="n"/>
      <c r="S26" s="28" t="n"/>
      <c r="T26" s="28" t="inlineStr">
        <is>
          <t>Pending human approval</t>
        </is>
      </c>
      <c r="U26" s="28" t="inlineStr">
        <is>
          <t>Technical QA passed; candidate rights, brand, editorial, and publication approval still required. Targets remain unmeasured assumptions.</t>
        </is>
      </c>
      <c r="V26" s="29">
        <f>IF(A26="","",IF(COUNTIF($A$5:$A$154,A26)&gt;1,"DUPLICATE","UNIQUE"))</f>
        <v/>
      </c>
      <c r="W26" s="29">
        <f>IF(A26="","",IF(T26="Rejected","REJECTED",IF(T26&lt;&gt;"Ready","PENDING APPROVAL",IF(AND(B26&lt;&gt;"",C26&lt;&gt;"",D26&lt;&gt;"",E26&lt;&gt;"",F26&lt;&gt;"",G26&lt;&gt;"",H26&lt;&gt;"",I26&lt;&gt;"",J26&lt;&gt;"",M26&lt;&gt;"",O26&lt;&gt;"",T26&lt;&gt;""),"COMPLETE","MISSING FIELDS"))))</f>
      </c>
    </row>
    <row r="27" ht="15" customHeight="1" s="15">
      <c r="A27" s="28" t="inlineStr">
        <is>
          <t>ETH2D2-C03</t>
        </is>
      </c>
      <c r="B27" s="28" t="inlineStr">
        <is>
          <t>LinkedIn</t>
        </is>
      </c>
      <c r="C27" s="28" t="inlineStr">
        <is>
          <t>Carousel</t>
        </is>
      </c>
      <c r="D27" s="28" t="inlineStr">
        <is>
          <t>Captions and editing craft</t>
        </is>
      </c>
      <c r="E27" s="28" t="inlineStr">
        <is>
          <t>Use plain words instead of jargon.</t>
        </is>
      </c>
      <c r="F27" s="28" t="inlineStr">
        <is>
          <t>Use plain words instead of jargon.
If the promise is vague, the viewer leaves.
If the promise is specific, the viewer stays to see it kept.
Try this on your next episode and compare.
https://incubrix.com/?utm_source=linkedin&amp;utm_medium=organic_social&amp;utm_campaign=creator_engine_q4_2026&amp;utm_content=ETH2D2-C03&amp;utm_term=craft
#videoediting #captions #contentcreator</t>
        </is>
      </c>
      <c r="G27" s="28" t="inlineStr">
        <is>
          <t>Try this on your next episode and compare.</t>
        </is>
      </c>
      <c r="H27" s="28" t="inlineStr">
        <is>
          <t>https://incubrix.com/?utm_source=linkedin&amp;utm_medium=organic_social&amp;utm_campaign=creator_engine_q4_2026&amp;utm_content=ETH2D2-C03&amp;utm_term=craft</t>
        </is>
      </c>
      <c r="I27" s="28" t="inlineStr">
        <is>
          <t>2_Final_Content/assets/ETH2D2-C03/carousel.pdf</t>
        </is>
      </c>
      <c r="J27" s="28" t="inlineStr">
        <is>
          <t>2_Final_Content/source_files/ETH2D2-C03/spec.json</t>
        </is>
      </c>
      <c r="K27" s="28" t="inlineStr">
        <is>
          <t>episode_two_hooks_and_captions.md</t>
        </is>
      </c>
      <c r="L27" s="28" t="inlineStr">
        <is>
          <t>IncuBrix content engine (Python, Pillow); Inter font (SIL OFL)</t>
        </is>
      </c>
      <c r="M27" s="28" t="inlineStr">
        <is>
          <t>Pending human approval</t>
        </is>
      </c>
      <c r="N27" s="28" t="inlineStr">
        <is>
          <t>No</t>
        </is>
      </c>
      <c r="O27" s="28" t="inlineStr">
        <is>
          <t>2026-11-10 13:30</t>
        </is>
      </c>
      <c r="P27" s="28" t="n"/>
      <c r="Q27" s="28" t="n"/>
      <c r="R27" s="28" t="n"/>
      <c r="S27" s="28" t="n"/>
      <c r="T27" s="28" t="inlineStr">
        <is>
          <t>Pending human approval</t>
        </is>
      </c>
      <c r="U27" s="28" t="inlineStr">
        <is>
          <t>Technical QA passed; candidate rights, brand, editorial, and publication approval still required. Targets remain unmeasured assumptions.</t>
        </is>
      </c>
      <c r="V27" s="29">
        <f>IF(A27="","",IF(COUNTIF($A$5:$A$154,A27)&gt;1,"DUPLICATE","UNIQUE"))</f>
        <v/>
      </c>
      <c r="W27" s="29">
        <f>IF(A27="","",IF(T27="Rejected","REJECTED",IF(T27&lt;&gt;"Ready","PENDING APPROVAL",IF(AND(B27&lt;&gt;"",C27&lt;&gt;"",D27&lt;&gt;"",E27&lt;&gt;"",F27&lt;&gt;"",G27&lt;&gt;"",H27&lt;&gt;"",I27&lt;&gt;"",J27&lt;&gt;"",M27&lt;&gt;"",O27&lt;&gt;"",T27&lt;&gt;""),"COMPLETE","MISSING FIELDS"))))</f>
      </c>
    </row>
    <row r="28" ht="15" customHeight="1" s="15">
      <c r="A28" s="28" t="inlineStr">
        <is>
          <t>ETH2D2-C04</t>
        </is>
      </c>
      <c r="B28" s="28" t="inlineStr">
        <is>
          <t>Instagram</t>
        </is>
      </c>
      <c r="C28" s="28" t="inlineStr">
        <is>
          <t>Carousel</t>
        </is>
      </c>
      <c r="D28" s="28" t="inlineStr">
        <is>
          <t>Creator workflow</t>
        </is>
      </c>
      <c r="E28" s="28" t="inlineStr">
        <is>
          <t>Compare posts of the same format only.</t>
        </is>
      </c>
      <c r="F28" s="28" t="inlineStr">
        <is>
          <t>Compare posts of the same format only.
A number tells people how long the idea will take.
Never promise something the clip does not deliver.
Pick one idea and ship it this week.
https://incubrix.com/?utm_source=instagram&amp;utm_medium=organic_social&amp;utm_campaign=creator_engine_q4_2026&amp;utm_content=ETH2D2-C04&amp;utm_term=workflow
#creatorworkflow #contentcreator #productivity</t>
        </is>
      </c>
      <c r="G28" s="28" t="inlineStr">
        <is>
          <t>Pick one idea and ship it this week.</t>
        </is>
      </c>
      <c r="H28" s="28" t="inlineStr">
        <is>
          <t>https://incubrix.com/?utm_source=instagram&amp;utm_medium=organic_social&amp;utm_campaign=creator_engine_q4_2026&amp;utm_content=ETH2D2-C04&amp;utm_term=workflow</t>
        </is>
      </c>
      <c r="I28" s="28" t="inlineStr">
        <is>
          <t>2_Final_Content/assets/ETH2D2-C04/carousel.pdf</t>
        </is>
      </c>
      <c r="J28" s="28" t="inlineStr">
        <is>
          <t>2_Final_Content/source_files/ETH2D2-C04/spec.json</t>
        </is>
      </c>
      <c r="K28" s="28" t="inlineStr">
        <is>
          <t>episode_two_hooks_and_captions.md</t>
        </is>
      </c>
      <c r="L28" s="28" t="inlineStr">
        <is>
          <t>IncuBrix content engine (Python, Pillow); Inter font (SIL OFL)</t>
        </is>
      </c>
      <c r="M28" s="28" t="inlineStr">
        <is>
          <t>Pending human approval</t>
        </is>
      </c>
      <c r="N28" s="28" t="inlineStr">
        <is>
          <t>No</t>
        </is>
      </c>
      <c r="O28" s="28" t="inlineStr">
        <is>
          <t>2026-11-09 17:00</t>
        </is>
      </c>
      <c r="P28" s="28" t="n"/>
      <c r="Q28" s="28" t="n"/>
      <c r="R28" s="28" t="n"/>
      <c r="S28" s="28" t="n"/>
      <c r="T28" s="28" t="inlineStr">
        <is>
          <t>Pending human approval</t>
        </is>
      </c>
      <c r="U28" s="28" t="inlineStr">
        <is>
          <t>Technical QA passed; candidate rights, brand, editorial, and publication approval still required. Targets remain unmeasured assumptions.</t>
        </is>
      </c>
      <c r="V28" s="29">
        <f>IF(A28="","",IF(COUNTIF($A$5:$A$154,A28)&gt;1,"DUPLICATE","UNIQUE"))</f>
        <v/>
      </c>
      <c r="W28" s="29">
        <f>IF(A28="","",IF(T28="Rejected","REJECTED",IF(T28&lt;&gt;"Ready","PENDING APPROVAL",IF(AND(B28&lt;&gt;"",C28&lt;&gt;"",D28&lt;&gt;"",E28&lt;&gt;"",F28&lt;&gt;"",G28&lt;&gt;"",H28&lt;&gt;"",I28&lt;&gt;"",J28&lt;&gt;"",M28&lt;&gt;"",O28&lt;&gt;"",T28&lt;&gt;""),"COMPLETE","MISSING FIELDS"))))</f>
      </c>
    </row>
    <row r="29" ht="15" customHeight="1" s="15">
      <c r="A29" s="28" t="inlineStr">
        <is>
          <t>ETH2D2-G01</t>
        </is>
      </c>
      <c r="B29" s="28" t="inlineStr">
        <is>
          <t>LinkedIn</t>
        </is>
      </c>
      <c r="C29" s="28" t="inlineStr">
        <is>
          <t>Graphic</t>
        </is>
      </c>
      <c r="D29" s="28" t="inlineStr">
        <is>
          <t>Captions and editing craft</t>
        </is>
      </c>
      <c r="E29" s="28" t="inlineStr">
        <is>
          <t>Start the written caption with the benefit.</t>
        </is>
      </c>
      <c r="F29" s="28" t="inlineStr">
        <is>
          <t>Start the written caption with the benefit.
Your solution only matters after they feel understood.
Try this on your next episode and compare.
https://incubrix.com/?utm_source=linkedin&amp;utm_medium=organic_social&amp;utm_campaign=creator_engine_q4_2026&amp;utm_content=ETH2D2-G01&amp;utm_term=craft
#videoediting #captions #contentcreator</t>
        </is>
      </c>
      <c r="G29" s="28" t="inlineStr">
        <is>
          <t>Try this on your next episode and compare.</t>
        </is>
      </c>
      <c r="H29" s="28" t="inlineStr">
        <is>
          <t>https://incubrix.com/?utm_source=linkedin&amp;utm_medium=organic_social&amp;utm_campaign=creator_engine_q4_2026&amp;utm_content=ETH2D2-G01&amp;utm_term=craft</t>
        </is>
      </c>
      <c r="I29" s="28" t="inlineStr">
        <is>
          <t>2_Final_Content/assets/ETH2D2-G01/final.png</t>
        </is>
      </c>
      <c r="J29" s="28" t="inlineStr">
        <is>
          <t>2_Final_Content/source_files/ETH2D2-G01/spec.json</t>
        </is>
      </c>
      <c r="K29" s="28" t="inlineStr">
        <is>
          <t>episode_two_hooks_and_captions.md</t>
        </is>
      </c>
      <c r="L29" s="28" t="inlineStr">
        <is>
          <t>IncuBrix content engine (Python, Pillow); Inter font (SIL OFL)</t>
        </is>
      </c>
      <c r="M29" s="28" t="inlineStr">
        <is>
          <t>Pending human approval</t>
        </is>
      </c>
      <c r="N29" s="28" t="inlineStr">
        <is>
          <t>No</t>
        </is>
      </c>
      <c r="O29" s="28" t="inlineStr">
        <is>
          <t>2026-11-11 13:30</t>
        </is>
      </c>
      <c r="P29" s="28" t="n"/>
      <c r="Q29" s="28" t="n"/>
      <c r="R29" s="28" t="n"/>
      <c r="S29" s="28" t="n"/>
      <c r="T29" s="28" t="inlineStr">
        <is>
          <t>Pending human approval</t>
        </is>
      </c>
      <c r="U29" s="28" t="inlineStr">
        <is>
          <t>Technical QA passed; candidate rights, brand, editorial, and publication approval still required. Targets remain unmeasured assumptions.</t>
        </is>
      </c>
      <c r="V29" s="29">
        <f>IF(A29="","",IF(COUNTIF($A$5:$A$154,A29)&gt;1,"DUPLICATE","UNIQUE"))</f>
        <v/>
      </c>
      <c r="W29" s="29">
        <f>IF(A29="","",IF(T29="Rejected","REJECTED",IF(T29&lt;&gt;"Ready","PENDING APPROVAL",IF(AND(B29&lt;&gt;"",C29&lt;&gt;"",D29&lt;&gt;"",E29&lt;&gt;"",F29&lt;&gt;"",G29&lt;&gt;"",H29&lt;&gt;"",I29&lt;&gt;"",J29&lt;&gt;"",M29&lt;&gt;"",O29&lt;&gt;"",T29&lt;&gt;""),"COMPLETE","MISSING FIELDS"))))</f>
      </c>
    </row>
    <row r="30" ht="15" customHeight="1" s="15">
      <c r="A30" s="28" t="inlineStr">
        <is>
          <t>ETH2D2-G02</t>
        </is>
      </c>
      <c r="B30" s="28" t="inlineStr">
        <is>
          <t>Instagram</t>
        </is>
      </c>
      <c r="C30" s="28" t="inlineStr">
        <is>
          <t>Graphic</t>
        </is>
      </c>
      <c r="D30" s="28" t="inlineStr">
        <is>
          <t>Captions and editing craft</t>
        </is>
      </c>
      <c r="E30" s="28" t="inlineStr">
        <is>
          <t>Read your caption out loud before you post.</t>
        </is>
      </c>
      <c r="F30" s="28" t="inlineStr">
        <is>
          <t>Read your caption out loud before you post.
Show the result before the method.
Try this on your next episode and compare.
https://incubrix.com/?utm_source=instagram&amp;utm_medium=organic_social&amp;utm_campaign=creator_engine_q4_2026&amp;utm_content=ETH2D2-G02&amp;utm_term=craft
#videoediting #captions #contentcreator</t>
        </is>
      </c>
      <c r="G30" s="28" t="inlineStr">
        <is>
          <t>Try this on your next episode and compare.</t>
        </is>
      </c>
      <c r="H30" s="28" t="inlineStr">
        <is>
          <t>https://incubrix.com/?utm_source=instagram&amp;utm_medium=organic_social&amp;utm_campaign=creator_engine_q4_2026&amp;utm_content=ETH2D2-G02&amp;utm_term=craft</t>
        </is>
      </c>
      <c r="I30" s="28" t="inlineStr">
        <is>
          <t>2_Final_Content/assets/ETH2D2-G02/final.png</t>
        </is>
      </c>
      <c r="J30" s="28" t="inlineStr">
        <is>
          <t>2_Final_Content/source_files/ETH2D2-G02/spec.json</t>
        </is>
      </c>
      <c r="K30" s="28" t="inlineStr">
        <is>
          <t>episode_two_hooks_and_captions.md</t>
        </is>
      </c>
      <c r="L30" s="28" t="inlineStr">
        <is>
          <t>IncuBrix content engine (Python, Pillow); Inter font (SIL OFL)</t>
        </is>
      </c>
      <c r="M30" s="28" t="inlineStr">
        <is>
          <t>Pending human approval</t>
        </is>
      </c>
      <c r="N30" s="28" t="inlineStr">
        <is>
          <t>No</t>
        </is>
      </c>
      <c r="O30" s="28" t="inlineStr">
        <is>
          <t>2026-11-09 17:00</t>
        </is>
      </c>
      <c r="P30" s="28" t="n"/>
      <c r="Q30" s="28" t="n"/>
      <c r="R30" s="28" t="n"/>
      <c r="S30" s="28" t="n"/>
      <c r="T30" s="28" t="inlineStr">
        <is>
          <t>Pending human approval</t>
        </is>
      </c>
      <c r="U30" s="28" t="inlineStr">
        <is>
          <t>Technical QA passed; candidate rights, brand, editorial, and publication approval still required. Targets remain unmeasured assumptions.</t>
        </is>
      </c>
      <c r="V30" s="29">
        <f>IF(A30="","",IF(COUNTIF($A$5:$A$154,A30)&gt;1,"DUPLICATE","UNIQUE"))</f>
        <v/>
      </c>
      <c r="W30" s="29">
        <f>IF(A30="","",IF(T30="Rejected","REJECTED",IF(T30&lt;&gt;"Ready","PENDING APPROVAL",IF(AND(B30&lt;&gt;"",C30&lt;&gt;"",D30&lt;&gt;"",E30&lt;&gt;"",F30&lt;&gt;"",G30&lt;&gt;"",H30&lt;&gt;"",I30&lt;&gt;"",J30&lt;&gt;"",M30&lt;&gt;"",O30&lt;&gt;"",T30&lt;&gt;""),"COMPLETE","MISSING FIELDS"))))</f>
      </c>
    </row>
    <row r="31" ht="15" customHeight="1" s="15">
      <c r="A31" s="28" t="inlineStr">
        <is>
          <t>ETH2D2-G03</t>
        </is>
      </c>
      <c r="B31" s="28" t="inlineStr">
        <is>
          <t>X</t>
        </is>
      </c>
      <c r="C31" s="28" t="inlineStr">
        <is>
          <t>Graphic</t>
        </is>
      </c>
      <c r="D31" s="28" t="inlineStr">
        <is>
          <t>Hooks and openings</t>
        </is>
      </c>
      <c r="E31" s="28" t="inlineStr">
        <is>
          <t>Show the result before the method.</t>
        </is>
      </c>
      <c r="F31" s="28" t="inlineStr">
        <is>
          <t>Show the result before the method.
If you are teaching an edit, start with the finished clip.
Send this to the person who edits your content.
https://incubrix.com/?utm_source=x&amp;utm_medium=organic_social&amp;utm_campaign=creator_engine_q4_2026&amp;utm_content=ETH2D2-G03&amp;utm_term=hooks
#videohooks #contentstrategy</t>
        </is>
      </c>
      <c r="G31" s="28" t="inlineStr">
        <is>
          <t>Send this to the person who edits your content.</t>
        </is>
      </c>
      <c r="H31" s="28" t="inlineStr">
        <is>
          <t>https://incubrix.com/?utm_source=x&amp;utm_medium=organic_social&amp;utm_campaign=creator_engine_q4_2026&amp;utm_content=ETH2D2-G03&amp;utm_term=hooks</t>
        </is>
      </c>
      <c r="I31" s="28" t="inlineStr">
        <is>
          <t>2_Final_Content/assets/ETH2D2-G03/final.png</t>
        </is>
      </c>
      <c r="J31" s="28" t="inlineStr">
        <is>
          <t>2_Final_Content/source_files/ETH2D2-G03/spec.json</t>
        </is>
      </c>
      <c r="K31" s="28" t="inlineStr">
        <is>
          <t>episode_two_hooks_and_captions.md</t>
        </is>
      </c>
      <c r="L31" s="28" t="inlineStr">
        <is>
          <t>IncuBrix content engine (Python, Pillow); Inter font (SIL OFL)</t>
        </is>
      </c>
      <c r="M31" s="28" t="inlineStr">
        <is>
          <t>Pending human approval</t>
        </is>
      </c>
      <c r="N31" s="28" t="inlineStr">
        <is>
          <t>No</t>
        </is>
      </c>
      <c r="O31" s="28" t="inlineStr">
        <is>
          <t>2026-11-06 14:00</t>
        </is>
      </c>
      <c r="P31" s="28" t="n"/>
      <c r="Q31" s="28" t="n"/>
      <c r="R31" s="28" t="n"/>
      <c r="S31" s="28" t="n"/>
      <c r="T31" s="28" t="inlineStr">
        <is>
          <t>Pending human approval</t>
        </is>
      </c>
      <c r="U31" s="28" t="inlineStr">
        <is>
          <t>Technical QA passed; candidate rights, brand, editorial, and publication approval still required. Targets remain unmeasured assumptions.</t>
        </is>
      </c>
      <c r="V31" s="29">
        <f>IF(A31="","",IF(COUNTIF($A$5:$A$154,A31)&gt;1,"DUPLICATE","UNIQUE"))</f>
        <v/>
      </c>
      <c r="W31" s="29">
        <f>IF(A31="","",IF(T31="Rejected","REJECTED",IF(T31&lt;&gt;"Ready","PENDING APPROVAL",IF(AND(B31&lt;&gt;"",C31&lt;&gt;"",D31&lt;&gt;"",E31&lt;&gt;"",F31&lt;&gt;"",G31&lt;&gt;"",H31&lt;&gt;"",I31&lt;&gt;"",J31&lt;&gt;"",M31&lt;&gt;"",O31&lt;&gt;"",T31&lt;&gt;""),"COMPLETE","MISSING FIELDS"))))</f>
      </c>
    </row>
    <row r="32" ht="15" customHeight="1" s="15">
      <c r="A32" s="28" t="inlineStr">
        <is>
          <t>ETH2D2-G04</t>
        </is>
      </c>
      <c r="B32" s="28" t="inlineStr">
        <is>
          <t>Threads</t>
        </is>
      </c>
      <c r="C32" s="28" t="inlineStr">
        <is>
          <t>Graphic</t>
        </is>
      </c>
      <c r="D32" s="28" t="inlineStr">
        <is>
          <t>Hooks and openings</t>
        </is>
      </c>
      <c r="E32" s="28" t="inlineStr">
        <is>
          <t>Your solution only matters after they feel understood.</t>
        </is>
      </c>
      <c r="F32" s="28" t="inlineStr">
        <is>
          <t>Your solution only matters after they feel understood.
Most recordings start with a pause, a cough or a half sentence.
Save this for your next recording.
https://incubrix.com/?utm_source=threads&amp;utm_medium=organic_social&amp;utm_campaign=creator_engine_q4_2026&amp;utm_content=ETH2D2-G04&amp;utm_term=hooks
#videohooks</t>
        </is>
      </c>
      <c r="G32" s="28" t="inlineStr">
        <is>
          <t>Save this for your next recording.</t>
        </is>
      </c>
      <c r="H32" s="28" t="inlineStr">
        <is>
          <t>https://incubrix.com/?utm_source=threads&amp;utm_medium=organic_social&amp;utm_campaign=creator_engine_q4_2026&amp;utm_content=ETH2D2-G04&amp;utm_term=hooks</t>
        </is>
      </c>
      <c r="I32" s="28" t="inlineStr">
        <is>
          <t>2_Final_Content/assets/ETH2D2-G04/final.png</t>
        </is>
      </c>
      <c r="J32" s="28" t="inlineStr">
        <is>
          <t>2_Final_Content/source_files/ETH2D2-G04/spec.json</t>
        </is>
      </c>
      <c r="K32" s="28" t="inlineStr">
        <is>
          <t>episode_two_hooks_and_captions.md</t>
        </is>
      </c>
      <c r="L32" s="28" t="inlineStr">
        <is>
          <t>IncuBrix content engine (Python, Pillow); Inter font (SIL OFL)</t>
        </is>
      </c>
      <c r="M32" s="28" t="inlineStr">
        <is>
          <t>Pending human approval</t>
        </is>
      </c>
      <c r="N32" s="28" t="inlineStr">
        <is>
          <t>No</t>
        </is>
      </c>
      <c r="O32" s="28" t="inlineStr">
        <is>
          <t>2026-11-04 18:00</t>
        </is>
      </c>
      <c r="P32" s="28" t="n"/>
      <c r="Q32" s="28" t="n"/>
      <c r="R32" s="28" t="n"/>
      <c r="S32" s="28" t="n"/>
      <c r="T32" s="28" t="inlineStr">
        <is>
          <t>Pending human approval</t>
        </is>
      </c>
      <c r="U32" s="28" t="inlineStr">
        <is>
          <t>Technical QA passed; candidate rights, brand, editorial, and publication approval still required. Targets remain unmeasured assumptions.</t>
        </is>
      </c>
      <c r="V32" s="29">
        <f>IF(A32="","",IF(COUNTIF($A$5:$A$154,A32)&gt;1,"DUPLICATE","UNIQUE"))</f>
        <v/>
      </c>
      <c r="W32" s="29">
        <f>IF(A32="","",IF(T32="Rejected","REJECTED",IF(T32&lt;&gt;"Ready","PENDING APPROVAL",IF(AND(B32&lt;&gt;"",C32&lt;&gt;"",D32&lt;&gt;"",E32&lt;&gt;"",F32&lt;&gt;"",G32&lt;&gt;"",H32&lt;&gt;"",I32&lt;&gt;"",J32&lt;&gt;"",M32&lt;&gt;"",O32&lt;&gt;"",T32&lt;&gt;""),"COMPLETE","MISSING FIELDS"))))</f>
      </c>
    </row>
    <row r="33" ht="15" customHeight="1" s="15">
      <c r="A33" s="28" t="inlineStr">
        <is>
          <t>ETH2D2-T01</t>
        </is>
      </c>
      <c r="B33" s="28" t="inlineStr">
        <is>
          <t>LinkedIn</t>
        </is>
      </c>
      <c r="C33" s="28" t="inlineStr">
        <is>
          <t>Text post</t>
        </is>
      </c>
      <c r="D33" s="28" t="inlineStr">
        <is>
          <t>Hooks and openings</t>
        </is>
      </c>
      <c r="E33" s="28" t="inlineStr">
        <is>
          <t>A hook is a promise made in two seconds.</t>
        </is>
      </c>
      <c r="F33" s="28" t="inlineStr">
        <is>
          <t>A hook is a promise made in two seconds.
Trim to the first word that matters.
Put the main words on screen in the first second.
Pick one idea and ship it this week.
https://incubrix.com/?utm_source=linkedin&amp;utm_medium=organic_social&amp;utm_campaign=creator_engine_q4_2026&amp;utm_content=ETH2D2-T01&amp;utm_term=hooks
#videohooks #contentstrategy #shortformvideo</t>
        </is>
      </c>
      <c r="G33" s="28" t="inlineStr">
        <is>
          <t>Pick one idea and ship it this week.</t>
        </is>
      </c>
      <c r="H33" s="28" t="inlineStr">
        <is>
          <t>https://incubrix.com/?utm_source=linkedin&amp;utm_medium=organic_social&amp;utm_campaign=creator_engine_q4_2026&amp;utm_content=ETH2D2-T01&amp;utm_term=hooks</t>
        </is>
      </c>
      <c r="I33" s="28" t="inlineStr">
        <is>
          <t>2_Final_Content/assets/ETH2D2-T01/final.txt</t>
        </is>
      </c>
      <c r="J33" s="28" t="inlineStr">
        <is>
          <t>2_Final_Content/source_files/ETH2D2-T01/spec.json</t>
        </is>
      </c>
      <c r="K33" s="28" t="inlineStr">
        <is>
          <t>episode_two_hooks_and_captions.md</t>
        </is>
      </c>
      <c r="L33" s="28" t="inlineStr">
        <is>
          <t>IncuBrix content engine (Python)</t>
        </is>
      </c>
      <c r="M33" s="28" t="inlineStr">
        <is>
          <t>Pending human approval</t>
        </is>
      </c>
      <c r="N33" s="28" t="inlineStr">
        <is>
          <t>No</t>
        </is>
      </c>
      <c r="O33" s="28" t="inlineStr">
        <is>
          <t>2026-11-12 13:30</t>
        </is>
      </c>
      <c r="P33" s="28" t="n"/>
      <c r="Q33" s="28" t="n"/>
      <c r="R33" s="28" t="n"/>
      <c r="S33" s="28" t="n"/>
      <c r="T33" s="28" t="inlineStr">
        <is>
          <t>Pending human approval</t>
        </is>
      </c>
      <c r="U33" s="28" t="inlineStr">
        <is>
          <t>Technical QA passed; candidate rights, brand, editorial, and publication approval still required. Targets remain unmeasured assumptions.</t>
        </is>
      </c>
      <c r="V33" s="29">
        <f>IF(A33="","",IF(COUNTIF($A$5:$A$154,A33)&gt;1,"DUPLICATE","UNIQUE"))</f>
        <v/>
      </c>
      <c r="W33" s="29">
        <f>IF(A33="","",IF(T33="Rejected","REJECTED",IF(T33&lt;&gt;"Ready","PENDING APPROVAL",IF(AND(B33&lt;&gt;"",C33&lt;&gt;"",D33&lt;&gt;"",E33&lt;&gt;"",F33&lt;&gt;"",G33&lt;&gt;"",H33&lt;&gt;"",I33&lt;&gt;"",J33&lt;&gt;"",M33&lt;&gt;"",O33&lt;&gt;"",T33&lt;&gt;""),"COMPLETE","MISSING FIELDS"))))</f>
      </c>
    </row>
    <row r="34" ht="15" customHeight="1" s="15">
      <c r="A34" s="28" t="inlineStr">
        <is>
          <t>ETH2D2-T02</t>
        </is>
      </c>
      <c r="B34" s="28" t="inlineStr">
        <is>
          <t>X</t>
        </is>
      </c>
      <c r="C34" s="28" t="inlineStr">
        <is>
          <t>Text post</t>
        </is>
      </c>
      <c r="D34" s="28" t="inlineStr">
        <is>
          <t>Hooks and openings</t>
        </is>
      </c>
      <c r="E34" s="28" t="inlineStr">
        <is>
          <t>The third version is usually a promise.</t>
        </is>
      </c>
      <c r="F34" s="28" t="inlineStr">
        <is>
          <t>The third version is usually a promise.
A short line of text lets people understand the clip before the audio makes sense.
If a sentence does not fit, split it.
Pick one idea and ship it this week.
https://incubrix.com/?utm_source=x&amp;utm_medium=organic_social&amp;utm_campaign=creator_engine_q4_2026&amp;utm_content=ETH2D2-T02&amp;utm_term=hooks
#videohooks #contentstrategy</t>
        </is>
      </c>
      <c r="G34" s="28" t="inlineStr">
        <is>
          <t>Pick one idea and ship it this week.</t>
        </is>
      </c>
      <c r="H34" s="28" t="inlineStr">
        <is>
          <t>https://incubrix.com/?utm_source=x&amp;utm_medium=organic_social&amp;utm_campaign=creator_engine_q4_2026&amp;utm_content=ETH2D2-T02&amp;utm_term=hooks</t>
        </is>
      </c>
      <c r="I34" s="28" t="inlineStr">
        <is>
          <t>2_Final_Content/assets/ETH2D2-T02/final.txt</t>
        </is>
      </c>
      <c r="J34" s="28" t="inlineStr">
        <is>
          <t>2_Final_Content/source_files/ETH2D2-T02/spec.json</t>
        </is>
      </c>
      <c r="K34" s="28" t="inlineStr">
        <is>
          <t>episode_two_hooks_and_captions.md</t>
        </is>
      </c>
      <c r="L34" s="28" t="inlineStr">
        <is>
          <t>IncuBrix content engine (Python)</t>
        </is>
      </c>
      <c r="M34" s="28" t="inlineStr">
        <is>
          <t>Pending human approval</t>
        </is>
      </c>
      <c r="N34" s="28" t="inlineStr">
        <is>
          <t>No</t>
        </is>
      </c>
      <c r="O34" s="28" t="inlineStr">
        <is>
          <t>2026-11-09 14:00</t>
        </is>
      </c>
      <c r="P34" s="28" t="n"/>
      <c r="Q34" s="28" t="n"/>
      <c r="R34" s="28" t="n"/>
      <c r="S34" s="28" t="n"/>
      <c r="T34" s="28" t="inlineStr">
        <is>
          <t>Pending human approval</t>
        </is>
      </c>
      <c r="U34" s="28" t="inlineStr">
        <is>
          <t>Technical QA passed; candidate rights, brand, editorial, and publication approval still required. Targets remain unmeasured assumptions.</t>
        </is>
      </c>
      <c r="V34" s="29">
        <f>IF(A34="","",IF(COUNTIF($A$5:$A$154,A34)&gt;1,"DUPLICATE","UNIQUE"))</f>
        <v/>
      </c>
      <c r="W34" s="29">
        <f>IF(A34="","",IF(T34="Rejected","REJECTED",IF(T34&lt;&gt;"Ready","PENDING APPROVAL",IF(AND(B34&lt;&gt;"",C34&lt;&gt;"",D34&lt;&gt;"",E34&lt;&gt;"",F34&lt;&gt;"",G34&lt;&gt;"",H34&lt;&gt;"",I34&lt;&gt;"",J34&lt;&gt;"",M34&lt;&gt;"",O34&lt;&gt;"",T34&lt;&gt;""),"COMPLETE","MISSING FIELDS"))))</f>
      </c>
    </row>
    <row r="35" ht="15" customHeight="1" s="15">
      <c r="A35" s="28" t="inlineStr">
        <is>
          <t>ETH2D2-T03</t>
        </is>
      </c>
      <c r="B35" s="28" t="inlineStr">
        <is>
          <t>Threads</t>
        </is>
      </c>
      <c r="C35" s="28" t="inlineStr">
        <is>
          <t>Text post</t>
        </is>
      </c>
      <c r="D35" s="28" t="inlineStr">
        <is>
          <t>Captions and editing craft</t>
        </is>
      </c>
      <c r="E35" s="28" t="inlineStr">
        <is>
          <t>Cut the first breath.</t>
        </is>
      </c>
      <c r="F35" s="28" t="inlineStr">
        <is>
          <t>Cut the first breath.
Buttons and descriptions cover the bottom of vertical video.
Read your caption out loud before you post.
Send this to the person who edits your content.
https://incubrix.com/?utm_source=threads&amp;utm_medium=organic_social&amp;utm_campaign=creator_engine_q4_2026&amp;utm_content=ETH2D2-T03&amp;utm_term=craft
#videoediting</t>
        </is>
      </c>
      <c r="G35" s="28" t="inlineStr">
        <is>
          <t>Send this to the person who edits your content.</t>
        </is>
      </c>
      <c r="H35" s="28" t="inlineStr">
        <is>
          <t>https://incubrix.com/?utm_source=threads&amp;utm_medium=organic_social&amp;utm_campaign=creator_engine_q4_2026&amp;utm_content=ETH2D2-T03&amp;utm_term=craft</t>
        </is>
      </c>
      <c r="I35" s="28" t="inlineStr">
        <is>
          <t>2_Final_Content/assets/ETH2D2-T03/final.txt</t>
        </is>
      </c>
      <c r="J35" s="28" t="inlineStr">
        <is>
          <t>2_Final_Content/source_files/ETH2D2-T03/spec.json</t>
        </is>
      </c>
      <c r="K35" s="28" t="inlineStr">
        <is>
          <t>episode_two_hooks_and_captions.md</t>
        </is>
      </c>
      <c r="L35" s="28" t="inlineStr">
        <is>
          <t>IncuBrix content engine (Python)</t>
        </is>
      </c>
      <c r="M35" s="28" t="inlineStr">
        <is>
          <t>Pending human approval</t>
        </is>
      </c>
      <c r="N35" s="28" t="inlineStr">
        <is>
          <t>No</t>
        </is>
      </c>
      <c r="O35" s="28" t="inlineStr">
        <is>
          <t>2026-11-05 18:00</t>
        </is>
      </c>
      <c r="P35" s="28" t="n"/>
      <c r="Q35" s="28" t="n"/>
      <c r="R35" s="28" t="n"/>
      <c r="S35" s="28" t="n"/>
      <c r="T35" s="28" t="inlineStr">
        <is>
          <t>Pending human approval</t>
        </is>
      </c>
      <c r="U35" s="28" t="inlineStr">
        <is>
          <t>Technical QA passed; candidate rights, brand, editorial, and publication approval still required. Targets remain unmeasured assumptions.</t>
        </is>
      </c>
      <c r="V35" s="29">
        <f>IF(A35="","",IF(COUNTIF($A$5:$A$154,A35)&gt;1,"DUPLICATE","UNIQUE"))</f>
        <v/>
      </c>
      <c r="W35" s="29">
        <f>IF(A35="","",IF(T35="Rejected","REJECTED",IF(T35&lt;&gt;"Ready","PENDING APPROVAL",IF(AND(B35&lt;&gt;"",C35&lt;&gt;"",D35&lt;&gt;"",E35&lt;&gt;"",F35&lt;&gt;"",G35&lt;&gt;"",H35&lt;&gt;"",I35&lt;&gt;"",J35&lt;&gt;"",M35&lt;&gt;"",O35&lt;&gt;"",T35&lt;&gt;""),"COMPLETE","MISSING FIELDS"))))</f>
      </c>
    </row>
    <row r="36" ht="15" customHeight="1" s="15">
      <c r="A36" s="28" t="inlineStr">
        <is>
          <t>ETH2D2-T04</t>
        </is>
      </c>
      <c r="B36" s="28" t="inlineStr">
        <is>
          <t>LinkedIn</t>
        </is>
      </c>
      <c r="C36" s="28" t="inlineStr">
        <is>
          <t>Text post</t>
        </is>
      </c>
      <c r="D36" s="28" t="inlineStr">
        <is>
          <t>Captions and editing craft</t>
        </is>
      </c>
      <c r="E36" s="28" t="inlineStr">
        <is>
          <t>Ask a question people can answer in a few words.</t>
        </is>
      </c>
      <c r="F36" s="28" t="inlineStr">
        <is>
          <t>Ask a question people can answer in a few words.
If you stumble, your viewer will too.
Use plain words instead of jargon.
Which one will you try first?
https://incubrix.com/?utm_source=linkedin&amp;utm_medium=organic_social&amp;utm_campaign=creator_engine_q4_2026&amp;utm_content=ETH2D2-T04&amp;utm_term=craft
#videoediting #captions #contentcreator</t>
        </is>
      </c>
      <c r="G36" s="28" t="inlineStr">
        <is>
          <t>Which one will you try first?</t>
        </is>
      </c>
      <c r="H36" s="28" t="inlineStr">
        <is>
          <t>https://incubrix.com/?utm_source=linkedin&amp;utm_medium=organic_social&amp;utm_campaign=creator_engine_q4_2026&amp;utm_content=ETH2D2-T04&amp;utm_term=craft</t>
        </is>
      </c>
      <c r="I36" s="28" t="inlineStr">
        <is>
          <t>2_Final_Content/assets/ETH2D2-T04/final.txt</t>
        </is>
      </c>
      <c r="J36" s="28" t="inlineStr">
        <is>
          <t>2_Final_Content/source_files/ETH2D2-T04/spec.json</t>
        </is>
      </c>
      <c r="K36" s="28" t="inlineStr">
        <is>
          <t>episode_two_hooks_and_captions.md</t>
        </is>
      </c>
      <c r="L36" s="28" t="inlineStr">
        <is>
          <t>IncuBrix content engine (Python)</t>
        </is>
      </c>
      <c r="M36" s="28" t="inlineStr">
        <is>
          <t>Pending human approval</t>
        </is>
      </c>
      <c r="N36" s="28" t="inlineStr">
        <is>
          <t>No</t>
        </is>
      </c>
      <c r="O36" s="28" t="inlineStr">
        <is>
          <t>2026-11-13 13:30</t>
        </is>
      </c>
      <c r="P36" s="28" t="n"/>
      <c r="Q36" s="28" t="n"/>
      <c r="R36" s="28" t="n"/>
      <c r="S36" s="28" t="n"/>
      <c r="T36" s="28" t="inlineStr">
        <is>
          <t>Pending human approval</t>
        </is>
      </c>
      <c r="U36" s="28" t="inlineStr">
        <is>
          <t>Technical QA passed; candidate rights, brand, editorial, and publication approval still required. Targets remain unmeasured assumptions.</t>
        </is>
      </c>
      <c r="V36" s="29">
        <f>IF(A36="","",IF(COUNTIF($A$5:$A$154,A36)&gt;1,"DUPLICATE","UNIQUE"))</f>
        <v/>
      </c>
      <c r="W36" s="29">
        <f>IF(A36="","",IF(T36="Rejected","REJECTED",IF(T36&lt;&gt;"Ready","PENDING APPROVAL",IF(AND(B36&lt;&gt;"",C36&lt;&gt;"",D36&lt;&gt;"",E36&lt;&gt;"",F36&lt;&gt;"",G36&lt;&gt;"",H36&lt;&gt;"",I36&lt;&gt;"",J36&lt;&gt;"",M36&lt;&gt;"",O36&lt;&gt;"",T36&lt;&gt;""),"COMPLETE","MISSING FIELDS"))))</f>
      </c>
    </row>
    <row r="37" ht="15" customHeight="1" s="15">
      <c r="A37" s="28" t="inlineStr">
        <is>
          <t>ETH2D2-V01</t>
        </is>
      </c>
      <c r="B37" s="28" t="inlineStr">
        <is>
          <t>Instagram</t>
        </is>
      </c>
      <c r="C37" s="28" t="inlineStr">
        <is>
          <t>Short video</t>
        </is>
      </c>
      <c r="D37" s="28" t="inlineStr">
        <is>
          <t>Captions and editing craft</t>
        </is>
      </c>
      <c r="E37" s="28" t="inlineStr">
        <is>
          <t>Most recordings start with a pause, a cough or a half sentence.</t>
        </is>
      </c>
      <c r="F37" s="28" t="inlineStr">
        <is>
          <t>Most recordings start with a pause, a cough or a half sentence.
A hook is a promise made in two seconds.
If the promise is vague, the viewer leaves.
Save this for your next recording.
https://incubrix.com/?utm_source=instagram&amp;utm_medium=organic_social&amp;utm_campaign=creator_engine_q4_2026&amp;utm_content=ETH2D2-V01&amp;utm_term=craft
#videoediting #captions #contentcreator</t>
        </is>
      </c>
      <c r="G37" s="28" t="inlineStr">
        <is>
          <t>Save this for your next recording.</t>
        </is>
      </c>
      <c r="H37" s="28" t="inlineStr">
        <is>
          <t>https://incubrix.com/?utm_source=instagram&amp;utm_medium=organic_social&amp;utm_campaign=creator_engine_q4_2026&amp;utm_content=ETH2D2-V01&amp;utm_term=craft</t>
        </is>
      </c>
      <c r="I37" s="28" t="inlineStr">
        <is>
          <t>2_Final_Content/assets/ETH2D2-V01/final.mp4</t>
        </is>
      </c>
      <c r="J37" s="28" t="inlineStr">
        <is>
          <t>2_Final_Content/source_files/ETH2D2-V01/spec.json</t>
        </is>
      </c>
      <c r="K37" s="28" t="inlineStr">
        <is>
          <t>episode_two_hooks_and_captions.md</t>
        </is>
      </c>
      <c r="L37" s="28" t="inlineStr">
        <is>
          <t>IncuBrix content engine (Python, Pillow, ffmpeg); Inter font (SIL OFL)</t>
        </is>
      </c>
      <c r="M37" s="28" t="inlineStr">
        <is>
          <t>Pending human approval</t>
        </is>
      </c>
      <c r="N37" s="28" t="inlineStr">
        <is>
          <t>No</t>
        </is>
      </c>
      <c r="O37" s="28" t="inlineStr">
        <is>
          <t>2026-11-10 17:00</t>
        </is>
      </c>
      <c r="P37" s="28" t="n"/>
      <c r="Q37" s="28" t="n"/>
      <c r="R37" s="28" t="n"/>
      <c r="S37" s="28" t="n"/>
      <c r="T37" s="28" t="inlineStr">
        <is>
          <t>Pending human approval</t>
        </is>
      </c>
      <c r="U37" s="28" t="inlineStr">
        <is>
          <t>Technical QA passed; candidate rights, brand, editorial, and publication approval still required. Targets remain unmeasured assumptions.</t>
        </is>
      </c>
      <c r="V37" s="29">
        <f>IF(A37="","",IF(COUNTIF($A$5:$A$154,A37)&gt;1,"DUPLICATE","UNIQUE"))</f>
        <v/>
      </c>
      <c r="W37" s="29">
        <f>IF(A37="","",IF(T37="Rejected","REJECTED",IF(T37&lt;&gt;"Ready","PENDING APPROVAL",IF(AND(B37&lt;&gt;"",C37&lt;&gt;"",D37&lt;&gt;"",E37&lt;&gt;"",F37&lt;&gt;"",G37&lt;&gt;"",H37&lt;&gt;"",I37&lt;&gt;"",J37&lt;&gt;"",M37&lt;&gt;"",O37&lt;&gt;"",T37&lt;&gt;""),"COMPLETE","MISSING FIELDS"))))</f>
      </c>
    </row>
    <row r="38" ht="15" customHeight="1" s="15">
      <c r="A38" s="28" t="inlineStr">
        <is>
          <t>ETH2D2-V02</t>
        </is>
      </c>
      <c r="B38" s="28" t="inlineStr">
        <is>
          <t>YouTube Shorts</t>
        </is>
      </c>
      <c r="C38" s="28" t="inlineStr">
        <is>
          <t>Short video</t>
        </is>
      </c>
      <c r="D38" s="28" t="inlineStr">
        <is>
          <t>Hooks and openings</t>
        </is>
      </c>
      <c r="E38" s="28" t="inlineStr">
        <is>
          <t>A clip without a promise is just footage.</t>
        </is>
      </c>
      <c r="F38" s="28" t="inlineStr">
        <is>
          <t>A clip without a promise is just footage.
Write the hook before you edit the video.
If you cannot say the promise in one sentence, the clip is not ready.
Save this for your next recording.
https://incubrix.com/?utm_source=youtube_shorts&amp;utm_medium=organic_social&amp;utm_campaign=creator_engine_q4_2026&amp;utm_content=ETH2D2-V02&amp;utm_term=hooks
#videohooks #contentstrategy #shortformvideo</t>
        </is>
      </c>
      <c r="G38" s="28" t="inlineStr">
        <is>
          <t>Save this for your next recording.</t>
        </is>
      </c>
      <c r="H38" s="28" t="inlineStr">
        <is>
          <t>https://incubrix.com/?utm_source=youtube_shorts&amp;utm_medium=organic_social&amp;utm_campaign=creator_engine_q4_2026&amp;utm_content=ETH2D2-V02&amp;utm_term=hooks</t>
        </is>
      </c>
      <c r="I38" s="28" t="inlineStr">
        <is>
          <t>2_Final_Content/assets/ETH2D2-V02/final.mp4</t>
        </is>
      </c>
      <c r="J38" s="28" t="inlineStr">
        <is>
          <t>2_Final_Content/source_files/ETH2D2-V02/spec.json</t>
        </is>
      </c>
      <c r="K38" s="28" t="inlineStr">
        <is>
          <t>episode_two_hooks_and_captions.md</t>
        </is>
      </c>
      <c r="L38" s="28" t="inlineStr">
        <is>
          <t>IncuBrix content engine (Python, Pillow, ffmpeg); Inter font (SIL OFL)</t>
        </is>
      </c>
      <c r="M38" s="28" t="inlineStr">
        <is>
          <t>Pending human approval</t>
        </is>
      </c>
      <c r="N38" s="28" t="inlineStr">
        <is>
          <t>No</t>
        </is>
      </c>
      <c r="O38" s="28" t="inlineStr">
        <is>
          <t>2026-11-04 16:00</t>
        </is>
      </c>
      <c r="P38" s="28" t="n"/>
      <c r="Q38" s="28" t="n"/>
      <c r="R38" s="28" t="n"/>
      <c r="S38" s="28" t="n"/>
      <c r="T38" s="28" t="inlineStr">
        <is>
          <t>Pending human approval</t>
        </is>
      </c>
      <c r="U38" s="28" t="inlineStr">
        <is>
          <t>Technical QA passed; candidate rights, brand, editorial, and publication approval still required. Targets remain unmeasured assumptions.</t>
        </is>
      </c>
      <c r="V38" s="29">
        <f>IF(A38="","",IF(COUNTIF($A$5:$A$154,A38)&gt;1,"DUPLICATE","UNIQUE"))</f>
        <v/>
      </c>
      <c r="W38" s="29">
        <f>IF(A38="","",IF(T38="Rejected","REJECTED",IF(T38&lt;&gt;"Ready","PENDING APPROVAL",IF(AND(B38&lt;&gt;"",C38&lt;&gt;"",D38&lt;&gt;"",E38&lt;&gt;"",F38&lt;&gt;"",G38&lt;&gt;"",H38&lt;&gt;"",I38&lt;&gt;"",J38&lt;&gt;"",M38&lt;&gt;"",O38&lt;&gt;"",T38&lt;&gt;""),"COMPLETE","MISSING FIELDS"))))</f>
      </c>
    </row>
    <row r="39" ht="15" customHeight="1" s="15">
      <c r="A39" s="28" t="inlineStr">
        <is>
          <t>ETH2D2-V03</t>
        </is>
      </c>
      <c r="B39" s="28" t="inlineStr">
        <is>
          <t>LinkedIn</t>
        </is>
      </c>
      <c r="C39" s="28" t="inlineStr">
        <is>
          <t>Short video</t>
        </is>
      </c>
      <c r="D39" s="28" t="inlineStr">
        <is>
          <t>Hooks and openings</t>
        </is>
      </c>
      <c r="E39" s="28" t="inlineStr">
        <is>
          <t>Never promise something the clip does not deliver.</t>
        </is>
      </c>
      <c r="F39" s="28" t="inlineStr">
        <is>
          <t>Never promise something the clip does not deliver.
A hook that overpromises gets a click and then a drop.
Lead with the problem your viewer already has.
Save this for your next recording.
https://incubrix.com/?utm_source=linkedin&amp;utm_medium=organic_social&amp;utm_campaign=creator_engine_q4_2026&amp;utm_content=ETH2D2-V03&amp;utm_term=hooks
#videohooks #contentstrategy #shortformvideo</t>
        </is>
      </c>
      <c r="G39" s="28" t="inlineStr">
        <is>
          <t>Save this for your next recording.</t>
        </is>
      </c>
      <c r="H39" s="28" t="inlineStr">
        <is>
          <t>https://incubrix.com/?utm_source=linkedin&amp;utm_medium=organic_social&amp;utm_campaign=creator_engine_q4_2026&amp;utm_content=ETH2D2-V03&amp;utm_term=hooks</t>
        </is>
      </c>
      <c r="I39" s="28" t="inlineStr">
        <is>
          <t>2_Final_Content/assets/ETH2D2-V03/final.mp4</t>
        </is>
      </c>
      <c r="J39" s="28" t="inlineStr">
        <is>
          <t>2_Final_Content/source_files/ETH2D2-V03/spec.json</t>
        </is>
      </c>
      <c r="K39" s="28" t="inlineStr">
        <is>
          <t>episode_two_hooks_and_captions.md</t>
        </is>
      </c>
      <c r="L39" s="28" t="inlineStr">
        <is>
          <t>IncuBrix content engine (Python, Pillow, ffmpeg); Inter font (SIL OFL)</t>
        </is>
      </c>
      <c r="M39" s="28" t="inlineStr">
        <is>
          <t>Pending human approval</t>
        </is>
      </c>
      <c r="N39" s="28" t="inlineStr">
        <is>
          <t>No</t>
        </is>
      </c>
      <c r="O39" s="28" t="inlineStr">
        <is>
          <t>2026-11-16 13:30</t>
        </is>
      </c>
      <c r="P39" s="28" t="n"/>
      <c r="Q39" s="28" t="n"/>
      <c r="R39" s="28" t="n"/>
      <c r="S39" s="28" t="n"/>
      <c r="T39" s="28" t="inlineStr">
        <is>
          <t>Pending human approval</t>
        </is>
      </c>
      <c r="U39" s="28" t="inlineStr">
        <is>
          <t>Technical QA passed; candidate rights, brand, editorial, and publication approval still required. Targets remain unmeasured assumptions.</t>
        </is>
      </c>
      <c r="V39" s="29">
        <f>IF(A39="","",IF(COUNTIF($A$5:$A$154,A39)&gt;1,"DUPLICATE","UNIQUE"))</f>
        <v/>
      </c>
      <c r="W39" s="29">
        <f>IF(A39="","",IF(T39="Rejected","REJECTED",IF(T39&lt;&gt;"Ready","PENDING APPROVAL",IF(AND(B39&lt;&gt;"",C39&lt;&gt;"",D39&lt;&gt;"",E39&lt;&gt;"",F39&lt;&gt;"",G39&lt;&gt;"",H39&lt;&gt;"",I39&lt;&gt;"",J39&lt;&gt;"",M39&lt;&gt;"",O39&lt;&gt;"",T39&lt;&gt;""),"COMPLETE","MISSING FIELDS"))))</f>
      </c>
    </row>
    <row r="40" ht="15" customHeight="1" s="15">
      <c r="A40" s="28" t="inlineStr">
        <is>
          <t>ETH2D2-V04</t>
        </is>
      </c>
      <c r="B40" s="28" t="inlineStr">
        <is>
          <t>X</t>
        </is>
      </c>
      <c r="C40" s="28" t="inlineStr">
        <is>
          <t>Short video</t>
        </is>
      </c>
      <c r="D40" s="28" t="inlineStr">
        <is>
          <t>Hooks and openings</t>
        </is>
      </c>
      <c r="E40" s="28" t="inlineStr">
        <is>
          <t>People pay attention to their own frustrations first.</t>
        </is>
      </c>
      <c r="F40" s="28" t="inlineStr">
        <is>
          <t>People pay attention to their own frustrations first.
Your solution only matters after they feel understood.
Show the result before the method.
Try this on your next episode and compare.
https://incubrix.com/?utm_source=x&amp;utm_medium=organic_social&amp;utm_campaign=creator_engine_q4_2026&amp;utm_content=ETH2D2-V04&amp;utm_term=hooks
#videohooks #contentstrategy</t>
        </is>
      </c>
      <c r="G40" s="28" t="inlineStr">
        <is>
          <t>Try this on your next episode and compare.</t>
        </is>
      </c>
      <c r="H40" s="28" t="inlineStr">
        <is>
          <t>https://incubrix.com/?utm_source=x&amp;utm_medium=organic_social&amp;utm_campaign=creator_engine_q4_2026&amp;utm_content=ETH2D2-V04&amp;utm_term=hooks</t>
        </is>
      </c>
      <c r="I40" s="28" t="inlineStr">
        <is>
          <t>2_Final_Content/assets/ETH2D2-V04/final.mp4</t>
        </is>
      </c>
      <c r="J40" s="28" t="inlineStr">
        <is>
          <t>2_Final_Content/source_files/ETH2D2-V04/spec.json</t>
        </is>
      </c>
      <c r="K40" s="28" t="inlineStr">
        <is>
          <t>episode_two_hooks_and_captions.md</t>
        </is>
      </c>
      <c r="L40" s="28" t="inlineStr">
        <is>
          <t>IncuBrix content engine (Python, Pillow, ffmpeg); Inter font (SIL OFL)</t>
        </is>
      </c>
      <c r="M40" s="28" t="inlineStr">
        <is>
          <t>Pending human approval</t>
        </is>
      </c>
      <c r="N40" s="28" t="inlineStr">
        <is>
          <t>No</t>
        </is>
      </c>
      <c r="O40" s="28" t="inlineStr">
        <is>
          <t>2026-11-09 14:00</t>
        </is>
      </c>
      <c r="P40" s="28" t="n"/>
      <c r="Q40" s="28" t="n"/>
      <c r="R40" s="28" t="n"/>
      <c r="S40" s="28" t="n"/>
      <c r="T40" s="28" t="inlineStr">
        <is>
          <t>Pending human approval</t>
        </is>
      </c>
      <c r="U40" s="28" t="inlineStr">
        <is>
          <t>Technical QA passed; candidate rights, brand, editorial, and publication approval still required. Targets remain unmeasured assumptions.</t>
        </is>
      </c>
      <c r="V40" s="29">
        <f>IF(A40="","",IF(COUNTIF($A$5:$A$154,A40)&gt;1,"DUPLICATE","UNIQUE"))</f>
        <v/>
      </c>
      <c r="W40" s="29">
        <f>IF(A40="","",IF(T40="Rejected","REJECTED",IF(T40&lt;&gt;"Ready","PENDING APPROVAL",IF(AND(B40&lt;&gt;"",C40&lt;&gt;"",D40&lt;&gt;"",E40&lt;&gt;"",F40&lt;&gt;"",G40&lt;&gt;"",H40&lt;&gt;"",I40&lt;&gt;"",J40&lt;&gt;"",M40&lt;&gt;"",O40&lt;&gt;"",T40&lt;&gt;""),"COMPLETE","MISSING FIELDS"))))</f>
      </c>
    </row>
    <row r="41" ht="15" customHeight="1" s="15">
      <c r="A41" s="28" t="inlineStr">
        <is>
          <t>ETH2D2-V05</t>
        </is>
      </c>
      <c r="B41" s="28" t="inlineStr">
        <is>
          <t>Instagram</t>
        </is>
      </c>
      <c r="C41" s="28" t="inlineStr">
        <is>
          <t>Short video</t>
        </is>
      </c>
      <c r="D41" s="28" t="inlineStr">
        <is>
          <t>Captions and editing craft</t>
        </is>
      </c>
      <c r="E41" s="28" t="inlineStr">
        <is>
          <t>Trim to the first word that matters.</t>
        </is>
      </c>
      <c r="F41" s="28" t="inlineStr">
        <is>
          <t>Trim to the first word that matters.
Most recordings start with a pause, a cough or a half sentence.
Put the main words on screen in the first second.
Save this for your next recording.
https://incubrix.com/?utm_source=instagram&amp;utm_medium=organic_social&amp;utm_campaign=creator_engine_q4_2026&amp;utm_content=ETH2D2-V05&amp;utm_term=craft
#videoediting #captions #contentcreator</t>
        </is>
      </c>
      <c r="G41" s="28" t="inlineStr">
        <is>
          <t>Save this for your next recording.</t>
        </is>
      </c>
      <c r="H41" s="28" t="inlineStr">
        <is>
          <t>https://incubrix.com/?utm_source=instagram&amp;utm_medium=organic_social&amp;utm_campaign=creator_engine_q4_2026&amp;utm_content=ETH2D2-V05&amp;utm_term=craft</t>
        </is>
      </c>
      <c r="I41" s="28" t="inlineStr">
        <is>
          <t>2_Final_Content/assets/ETH2D2-V05/final.mp4</t>
        </is>
      </c>
      <c r="J41" s="28" t="inlineStr">
        <is>
          <t>2_Final_Content/source_files/ETH2D2-V05/spec.json</t>
        </is>
      </c>
      <c r="K41" s="28" t="inlineStr">
        <is>
          <t>episode_two_hooks_and_captions.md</t>
        </is>
      </c>
      <c r="L41" s="28" t="inlineStr">
        <is>
          <t>IncuBrix content engine (Python, Pillow, ffmpeg); Inter font (SIL OFL)</t>
        </is>
      </c>
      <c r="M41" s="28" t="inlineStr">
        <is>
          <t>Pending human approval</t>
        </is>
      </c>
      <c r="N41" s="28" t="inlineStr">
        <is>
          <t>No</t>
        </is>
      </c>
      <c r="O41" s="28" t="inlineStr">
        <is>
          <t>2026-11-11 17:00</t>
        </is>
      </c>
      <c r="P41" s="28" t="n"/>
      <c r="Q41" s="28" t="n"/>
      <c r="R41" s="28" t="n"/>
      <c r="S41" s="28" t="n"/>
      <c r="T41" s="28" t="inlineStr">
        <is>
          <t>Pending human approval</t>
        </is>
      </c>
      <c r="U41" s="28" t="inlineStr">
        <is>
          <t>Technical QA passed; candidate rights, brand, editorial, and publication approval still required. Targets remain unmeasured assumptions.</t>
        </is>
      </c>
      <c r="V41" s="29">
        <f>IF(A41="","",IF(COUNTIF($A$5:$A$154,A41)&gt;1,"DUPLICATE","UNIQUE"))</f>
        <v/>
      </c>
      <c r="W41" s="29">
        <f>IF(A41="","",IF(T41="Rejected","REJECTED",IF(T41&lt;&gt;"Ready","PENDING APPROVAL",IF(AND(B41&lt;&gt;"",C41&lt;&gt;"",D41&lt;&gt;"",E41&lt;&gt;"",F41&lt;&gt;"",G41&lt;&gt;"",H41&lt;&gt;"",I41&lt;&gt;"",J41&lt;&gt;"",M41&lt;&gt;"",O41&lt;&gt;"",T41&lt;&gt;""),"COMPLETE","MISSING FIELDS"))))</f>
      </c>
    </row>
    <row r="42" ht="15" customHeight="1" s="15">
      <c r="A42" s="28" t="inlineStr">
        <is>
          <t>ETH2D2-V06</t>
        </is>
      </c>
      <c r="B42" s="28" t="inlineStr">
        <is>
          <t>YouTube Shorts</t>
        </is>
      </c>
      <c r="C42" s="28" t="inlineStr">
        <is>
          <t>Short video</t>
        </is>
      </c>
      <c r="D42" s="28" t="inlineStr">
        <is>
          <t>Hooks and openings</t>
        </is>
      </c>
      <c r="E42" s="28" t="inlineStr">
        <is>
          <t>Write the hook before you edit the video.</t>
        </is>
      </c>
      <c r="F42" s="28" t="inlineStr">
        <is>
          <t>Write the hook before you edit the video.
If a sentence does not fit, split it.
Buttons and descriptions cover the bottom of vertical video.
Save this for your next recording.
https://incubrix.com/?utm_source=youtube_shorts&amp;utm_medium=organic_social&amp;utm_campaign=creator_engine_q4_2026&amp;utm_content=ETH2D2-V06&amp;utm_term=hooks
#videohooks #contentstrategy #shortformvideo</t>
        </is>
      </c>
      <c r="G42" s="28" t="inlineStr">
        <is>
          <t>Save this for your next recording.</t>
        </is>
      </c>
      <c r="H42" s="28" t="inlineStr">
        <is>
          <t>https://incubrix.com/?utm_source=youtube_shorts&amp;utm_medium=organic_social&amp;utm_campaign=creator_engine_q4_2026&amp;utm_content=ETH2D2-V06&amp;utm_term=hooks</t>
        </is>
      </c>
      <c r="I42" s="28" t="inlineStr">
        <is>
          <t>2_Final_Content/assets/ETH2D2-V06/final.mp4</t>
        </is>
      </c>
      <c r="J42" s="28" t="inlineStr">
        <is>
          <t>2_Final_Content/source_files/ETH2D2-V06/spec.json</t>
        </is>
      </c>
      <c r="K42" s="28" t="inlineStr">
        <is>
          <t>episode_two_hooks_and_captions.md</t>
        </is>
      </c>
      <c r="L42" s="28" t="inlineStr">
        <is>
          <t>IncuBrix content engine (Python, Pillow, ffmpeg); Inter font (SIL OFL)</t>
        </is>
      </c>
      <c r="M42" s="28" t="inlineStr">
        <is>
          <t>Pending human approval</t>
        </is>
      </c>
      <c r="N42" s="28" t="inlineStr">
        <is>
          <t>No</t>
        </is>
      </c>
      <c r="O42" s="28" t="inlineStr">
        <is>
          <t>2026-11-05 16:00</t>
        </is>
      </c>
      <c r="P42" s="28" t="n"/>
      <c r="Q42" s="28" t="n"/>
      <c r="R42" s="28" t="n"/>
      <c r="S42" s="28" t="n"/>
      <c r="T42" s="28" t="inlineStr">
        <is>
          <t>Pending human approval</t>
        </is>
      </c>
      <c r="U42" s="28" t="inlineStr">
        <is>
          <t>Technical QA passed; candidate rights, brand, editorial, and publication approval still required. Targets remain unmeasured assumptions.</t>
        </is>
      </c>
      <c r="V42" s="29">
        <f>IF(A42="","",IF(COUNTIF($A$5:$A$154,A42)&gt;1,"DUPLICATE","UNIQUE"))</f>
        <v/>
      </c>
      <c r="W42" s="29">
        <f>IF(A42="","",IF(T42="Rejected","REJECTED",IF(T42&lt;&gt;"Ready","PENDING APPROVAL",IF(AND(B42&lt;&gt;"",C42&lt;&gt;"",D42&lt;&gt;"",E42&lt;&gt;"",F42&lt;&gt;"",G42&lt;&gt;"",H42&lt;&gt;"",I42&lt;&gt;"",J42&lt;&gt;"",M42&lt;&gt;"",O42&lt;&gt;"",T42&lt;&gt;""),"COMPLETE","MISSING FIELDS"))))</f>
      </c>
    </row>
    <row r="43" ht="15" customHeight="1" s="15">
      <c r="A43" s="28" t="inlineStr">
        <is>
          <t>ETH2D2-V07</t>
        </is>
      </c>
      <c r="B43" s="28" t="inlineStr">
        <is>
          <t>LinkedIn</t>
        </is>
      </c>
      <c r="C43" s="28" t="inlineStr">
        <is>
          <t>Short video</t>
        </is>
      </c>
      <c r="D43" s="28" t="inlineStr">
        <is>
          <t>Captions and editing craft</t>
        </is>
      </c>
      <c r="E43" s="28" t="inlineStr">
        <is>
          <t>Put the main words on screen in the first second.</t>
        </is>
      </c>
      <c r="F43" s="28" t="inlineStr">
        <is>
          <t>Put the main words on screen in the first second.
If you stumble, your viewer will too.
Use plain words instead of jargon.
Save this for your next recording.
https://incubrix.com/?utm_source=linkedin&amp;utm_medium=organic_social&amp;utm_campaign=creator_engine_q4_2026&amp;utm_content=ETH2D2-V07&amp;utm_term=craft
#videoediting #captions #contentcreator</t>
        </is>
      </c>
      <c r="G43" s="28" t="inlineStr">
        <is>
          <t>Save this for your next recording.</t>
        </is>
      </c>
      <c r="H43" s="28" t="inlineStr">
        <is>
          <t>https://incubrix.com/?utm_source=linkedin&amp;utm_medium=organic_social&amp;utm_campaign=creator_engine_q4_2026&amp;utm_content=ETH2D2-V07&amp;utm_term=craft</t>
        </is>
      </c>
      <c r="I43" s="28" t="inlineStr">
        <is>
          <t>2_Final_Content/assets/ETH2D2-V07/final.mp4</t>
        </is>
      </c>
      <c r="J43" s="28" t="inlineStr">
        <is>
          <t>2_Final_Content/source_files/ETH2D2-V07/spec.json</t>
        </is>
      </c>
      <c r="K43" s="28" t="inlineStr">
        <is>
          <t>episode_two_hooks_and_captions.md</t>
        </is>
      </c>
      <c r="L43" s="28" t="inlineStr">
        <is>
          <t>IncuBrix content engine (Python, Pillow, ffmpeg); Inter font (SIL OFL)</t>
        </is>
      </c>
      <c r="M43" s="28" t="inlineStr">
        <is>
          <t>Pending human approval</t>
        </is>
      </c>
      <c r="N43" s="28" t="inlineStr">
        <is>
          <t>No</t>
        </is>
      </c>
      <c r="O43" s="28" t="inlineStr">
        <is>
          <t>2026-11-16 13:30</t>
        </is>
      </c>
      <c r="P43" s="28" t="n"/>
      <c r="Q43" s="28" t="n"/>
      <c r="R43" s="28" t="n"/>
      <c r="S43" s="28" t="n"/>
      <c r="T43" s="28" t="inlineStr">
        <is>
          <t>Pending human approval</t>
        </is>
      </c>
      <c r="U43" s="28" t="inlineStr">
        <is>
          <t>Technical QA passed; candidate rights, brand, editorial, and publication approval still required. Targets remain unmeasured assumptions.</t>
        </is>
      </c>
      <c r="V43" s="29">
        <f>IF(A43="","",IF(COUNTIF($A$5:$A$154,A43)&gt;1,"DUPLICATE","UNIQUE"))</f>
        <v/>
      </c>
      <c r="W43" s="29">
        <f>IF(A43="","",IF(T43="Rejected","REJECTED",IF(T43&lt;&gt;"Ready","PENDING APPROVAL",IF(AND(B43&lt;&gt;"",C43&lt;&gt;"",D43&lt;&gt;"",E43&lt;&gt;"",F43&lt;&gt;"",G43&lt;&gt;"",H43&lt;&gt;"",I43&lt;&gt;"",J43&lt;&gt;"",M43&lt;&gt;"",O43&lt;&gt;"",T43&lt;&gt;""),"COMPLETE","MISSING FIELDS"))))</f>
      </c>
    </row>
    <row r="44" ht="15" customHeight="1" s="15">
      <c r="A44" s="28" t="inlineStr">
        <is>
          <t>ETH2D2-V08</t>
        </is>
      </c>
      <c r="B44" s="28" t="inlineStr">
        <is>
          <t>X</t>
        </is>
      </c>
      <c r="C44" s="28" t="inlineStr">
        <is>
          <t>Short video</t>
        </is>
      </c>
      <c r="D44" s="28" t="inlineStr">
        <is>
          <t>Hooks and openings</t>
        </is>
      </c>
      <c r="E44" s="28" t="inlineStr">
        <is>
          <t>The first version is usually a description.</t>
        </is>
      </c>
      <c r="F44" s="28" t="inlineStr">
        <is>
          <t>The first version is usually a description.
The first line shows before the "more" button, so it must work alone.
Ask a question people can answer in a few words.
Try this on your next episode and compare.
https://incubrix.com/?utm_source=x&amp;utm_medium=organic_social&amp;utm_campaign=creator_engine_q4_2026&amp;utm_content=ETH2D2-V08&amp;utm_term=hooks
#videohooks #contentstrategy</t>
        </is>
      </c>
      <c r="G44" s="28" t="inlineStr">
        <is>
          <t>Try this on your next episode and compare.</t>
        </is>
      </c>
      <c r="H44" s="28" t="inlineStr">
        <is>
          <t>https://incubrix.com/?utm_source=x&amp;utm_medium=organic_social&amp;utm_campaign=creator_engine_q4_2026&amp;utm_content=ETH2D2-V08&amp;utm_term=hooks</t>
        </is>
      </c>
      <c r="I44" s="28" t="inlineStr">
        <is>
          <t>2_Final_Content/assets/ETH2D2-V08/final.mp4</t>
        </is>
      </c>
      <c r="J44" s="28" t="inlineStr">
        <is>
          <t>2_Final_Content/source_files/ETH2D2-V08/spec.json</t>
        </is>
      </c>
      <c r="K44" s="28" t="inlineStr">
        <is>
          <t>episode_two_hooks_and_captions.md</t>
        </is>
      </c>
      <c r="L44" s="28" t="inlineStr">
        <is>
          <t>IncuBrix content engine (Python, Pillow, ffmpeg); Inter font (SIL OFL)</t>
        </is>
      </c>
      <c r="M44" s="28" t="inlineStr">
        <is>
          <t>Pending human approval</t>
        </is>
      </c>
      <c r="N44" s="28" t="inlineStr">
        <is>
          <t>No</t>
        </is>
      </c>
      <c r="O44" s="28" t="inlineStr">
        <is>
          <t>2026-11-09 14:00</t>
        </is>
      </c>
      <c r="P44" s="28" t="n"/>
      <c r="Q44" s="28" t="n"/>
      <c r="R44" s="28" t="n"/>
      <c r="S44" s="28" t="n"/>
      <c r="T44" s="28" t="inlineStr">
        <is>
          <t>Pending human approval</t>
        </is>
      </c>
      <c r="U44" s="28" t="inlineStr">
        <is>
          <t>Technical QA passed; candidate rights, brand, editorial, and publication approval still required. Targets remain unmeasured assumptions.</t>
        </is>
      </c>
      <c r="V44" s="29">
        <f>IF(A44="","",IF(COUNTIF($A$5:$A$154,A44)&gt;1,"DUPLICATE","UNIQUE"))</f>
        <v/>
      </c>
      <c r="W44" s="29">
        <f>IF(A44="","",IF(T44="Rejected","REJECTED",IF(T44&lt;&gt;"Ready","PENDING APPROVAL",IF(AND(B44&lt;&gt;"",C44&lt;&gt;"",D44&lt;&gt;"",E44&lt;&gt;"",F44&lt;&gt;"",G44&lt;&gt;"",H44&lt;&gt;"",I44&lt;&gt;"",J44&lt;&gt;"",M44&lt;&gt;"",O44&lt;&gt;"",T44&lt;&gt;""),"COMPLETE","MISSING FIELDS"))))</f>
      </c>
    </row>
    <row r="45" ht="15" customHeight="1" s="15">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9">
        <f>IF(A45="","",IF(COUNTIF($A$5:$A$154,A45)&gt;1,"DUPLICATE","UNIQUE"))</f>
        <v/>
      </c>
      <c r="W45" s="29">
        <f>IF(A45="","",IF(T45="Rejected","REJECTED",IF(T45&lt;&gt;"Ready","PENDING APPROVAL",IF(AND(B45&lt;&gt;"",C45&lt;&gt;"",D45&lt;&gt;"",E45&lt;&gt;"",F45&lt;&gt;"",G45&lt;&gt;"",H45&lt;&gt;"",I45&lt;&gt;"",J45&lt;&gt;"",M45&lt;&gt;"",O45&lt;&gt;"",T45&lt;&gt;""),"COMPLETE","MISSING FIELDS"))))</f>
      </c>
    </row>
    <row r="46" ht="15" customHeight="1" s="15">
      <c r="A46" s="28" t="n"/>
      <c r="B46" s="28" t="n"/>
      <c r="C46" s="28" t="n"/>
      <c r="D46" s="28" t="n"/>
      <c r="E46" s="28" t="n"/>
      <c r="F46" s="28" t="n"/>
      <c r="G46" s="28" t="n"/>
      <c r="H46" s="28" t="n"/>
      <c r="I46" s="28" t="n"/>
      <c r="J46" s="28" t="n"/>
      <c r="K46" s="28" t="n"/>
      <c r="L46" s="28" t="n"/>
      <c r="M46" s="28" t="n"/>
      <c r="N46" s="28" t="n"/>
      <c r="O46" s="28" t="n"/>
      <c r="P46" s="28" t="n"/>
      <c r="Q46" s="28" t="n"/>
      <c r="R46" s="28" t="n"/>
      <c r="S46" s="28" t="n"/>
      <c r="T46" s="28" t="n"/>
      <c r="U46" s="28" t="n"/>
      <c r="V46" s="29">
        <f>IF(A46="","",IF(COUNTIF($A$5:$A$154,A46)&gt;1,"DUPLICATE","UNIQUE"))</f>
        <v/>
      </c>
      <c r="W46" s="29">
        <f>IF(A46="","",IF(T46="Rejected","REJECTED",IF(T46&lt;&gt;"Ready","PENDING APPROVAL",IF(AND(B46&lt;&gt;"",C46&lt;&gt;"",D46&lt;&gt;"",E46&lt;&gt;"",F46&lt;&gt;"",G46&lt;&gt;"",H46&lt;&gt;"",I46&lt;&gt;"",J46&lt;&gt;"",M46&lt;&gt;"",O46&lt;&gt;"",T46&lt;&gt;""),"COMPLETE","MISSING FIELDS"))))</f>
      </c>
    </row>
    <row r="47" ht="15" customHeight="1" s="15">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9">
        <f>IF(A47="","",IF(COUNTIF($A$5:$A$154,A47)&gt;1,"DUPLICATE","UNIQUE"))</f>
        <v/>
      </c>
      <c r="W47" s="29">
        <f>IF(A47="","",IF(T47="Rejected","REJECTED",IF(T47&lt;&gt;"Ready","PENDING APPROVAL",IF(AND(B47&lt;&gt;"",C47&lt;&gt;"",D47&lt;&gt;"",E47&lt;&gt;"",F47&lt;&gt;"",G47&lt;&gt;"",H47&lt;&gt;"",I47&lt;&gt;"",J47&lt;&gt;"",M47&lt;&gt;"",O47&lt;&gt;"",T47&lt;&gt;""),"COMPLETE","MISSING FIELDS"))))</f>
      </c>
    </row>
    <row r="48" ht="15" customHeight="1" s="15">
      <c r="A48" s="28" t="n"/>
      <c r="B48" s="28" t="n"/>
      <c r="C48" s="28" t="n"/>
      <c r="D48" s="28" t="n"/>
      <c r="E48" s="28" t="n"/>
      <c r="F48" s="28" t="n"/>
      <c r="G48" s="28" t="n"/>
      <c r="H48" s="28" t="n"/>
      <c r="I48" s="28" t="n"/>
      <c r="J48" s="28" t="n"/>
      <c r="K48" s="28" t="n"/>
      <c r="L48" s="28" t="n"/>
      <c r="M48" s="28" t="n"/>
      <c r="N48" s="28" t="n"/>
      <c r="O48" s="28" t="n"/>
      <c r="P48" s="28" t="n"/>
      <c r="Q48" s="28" t="n"/>
      <c r="R48" s="28" t="n"/>
      <c r="S48" s="28" t="n"/>
      <c r="T48" s="28" t="n"/>
      <c r="U48" s="28" t="n"/>
      <c r="V48" s="29">
        <f>IF(A48="","",IF(COUNTIF($A$5:$A$154,A48)&gt;1,"DUPLICATE","UNIQUE"))</f>
        <v/>
      </c>
      <c r="W48" s="29">
        <f>IF(A48="","",IF(T48="Rejected","REJECTED",IF(T48&lt;&gt;"Ready","PENDING APPROVAL",IF(AND(B48&lt;&gt;"",C48&lt;&gt;"",D48&lt;&gt;"",E48&lt;&gt;"",F48&lt;&gt;"",G48&lt;&gt;"",H48&lt;&gt;"",I48&lt;&gt;"",J48&lt;&gt;"",M48&lt;&gt;"",O48&lt;&gt;"",T48&lt;&gt;""),"COMPLETE","MISSING FIELDS"))))</f>
      </c>
    </row>
    <row r="49" ht="15" customHeight="1" s="15">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9">
        <f>IF(A49="","",IF(COUNTIF($A$5:$A$154,A49)&gt;1,"DUPLICATE","UNIQUE"))</f>
        <v/>
      </c>
      <c r="W49" s="29">
        <f>IF(A49="","",IF(T49="Rejected","REJECTED",IF(T49&lt;&gt;"Ready","PENDING APPROVAL",IF(AND(B49&lt;&gt;"",C49&lt;&gt;"",D49&lt;&gt;"",E49&lt;&gt;"",F49&lt;&gt;"",G49&lt;&gt;"",H49&lt;&gt;"",I49&lt;&gt;"",J49&lt;&gt;"",M49&lt;&gt;"",O49&lt;&gt;"",T49&lt;&gt;""),"COMPLETE","MISSING FIELDS"))))</f>
      </c>
    </row>
    <row r="50" ht="15" customHeight="1" s="15">
      <c r="A50" s="28" t="n"/>
      <c r="B50" s="28" t="n"/>
      <c r="C50" s="28" t="n"/>
      <c r="D50" s="28" t="n"/>
      <c r="E50" s="28" t="n"/>
      <c r="F50" s="28" t="n"/>
      <c r="G50" s="28" t="n"/>
      <c r="H50" s="28" t="n"/>
      <c r="I50" s="28" t="n"/>
      <c r="J50" s="28" t="n"/>
      <c r="K50" s="28" t="n"/>
      <c r="L50" s="28" t="n"/>
      <c r="M50" s="28" t="n"/>
      <c r="N50" s="28" t="n"/>
      <c r="O50" s="28" t="n"/>
      <c r="P50" s="28" t="n"/>
      <c r="Q50" s="28" t="n"/>
      <c r="R50" s="28" t="n"/>
      <c r="S50" s="28" t="n"/>
      <c r="T50" s="28" t="n"/>
      <c r="U50" s="28" t="n"/>
      <c r="V50" s="29">
        <f>IF(A50="","",IF(COUNTIF($A$5:$A$154,A50)&gt;1,"DUPLICATE","UNIQUE"))</f>
        <v/>
      </c>
      <c r="W50" s="29">
        <f>IF(A50="","",IF(T50="Rejected","REJECTED",IF(T50&lt;&gt;"Ready","PENDING APPROVAL",IF(AND(B50&lt;&gt;"",C50&lt;&gt;"",D50&lt;&gt;"",E50&lt;&gt;"",F50&lt;&gt;"",G50&lt;&gt;"",H50&lt;&gt;"",I50&lt;&gt;"",J50&lt;&gt;"",M50&lt;&gt;"",O50&lt;&gt;"",T50&lt;&gt;""),"COMPLETE","MISSING FIELDS"))))</f>
      </c>
    </row>
    <row r="51" ht="15" customHeight="1" s="15">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9">
        <f>IF(A51="","",IF(COUNTIF($A$5:$A$154,A51)&gt;1,"DUPLICATE","UNIQUE"))</f>
        <v/>
      </c>
      <c r="W51" s="29">
        <f>IF(A51="","",IF(T51="Rejected","REJECTED",IF(T51&lt;&gt;"Ready","PENDING APPROVAL",IF(AND(B51&lt;&gt;"",C51&lt;&gt;"",D51&lt;&gt;"",E51&lt;&gt;"",F51&lt;&gt;"",G51&lt;&gt;"",H51&lt;&gt;"",I51&lt;&gt;"",J51&lt;&gt;"",M51&lt;&gt;"",O51&lt;&gt;"",T51&lt;&gt;""),"COMPLETE","MISSING FIELDS"))))</f>
      </c>
    </row>
    <row r="52" ht="15" customHeight="1" s="15">
      <c r="A52" s="28" t="n"/>
      <c r="B52" s="28" t="n"/>
      <c r="C52" s="28" t="n"/>
      <c r="D52" s="28" t="n"/>
      <c r="E52" s="28" t="n"/>
      <c r="F52" s="28" t="n"/>
      <c r="G52" s="28" t="n"/>
      <c r="H52" s="28" t="n"/>
      <c r="I52" s="28" t="n"/>
      <c r="J52" s="28" t="n"/>
      <c r="K52" s="28" t="n"/>
      <c r="L52" s="28" t="n"/>
      <c r="M52" s="28" t="n"/>
      <c r="N52" s="28" t="n"/>
      <c r="O52" s="28" t="n"/>
      <c r="P52" s="28" t="n"/>
      <c r="Q52" s="28" t="n"/>
      <c r="R52" s="28" t="n"/>
      <c r="S52" s="28" t="n"/>
      <c r="T52" s="28" t="n"/>
      <c r="U52" s="28" t="n"/>
      <c r="V52" s="29">
        <f>IF(A52="","",IF(COUNTIF($A$5:$A$154,A52)&gt;1,"DUPLICATE","UNIQUE"))</f>
        <v/>
      </c>
      <c r="W52" s="29">
        <f>IF(A52="","",IF(T52="Rejected","REJECTED",IF(T52&lt;&gt;"Ready","PENDING APPROVAL",IF(AND(B52&lt;&gt;"",C52&lt;&gt;"",D52&lt;&gt;"",E52&lt;&gt;"",F52&lt;&gt;"",G52&lt;&gt;"",H52&lt;&gt;"",I52&lt;&gt;"",J52&lt;&gt;"",M52&lt;&gt;"",O52&lt;&gt;"",T52&lt;&gt;""),"COMPLETE","MISSING FIELDS"))))</f>
      </c>
    </row>
    <row r="53" ht="15" customHeight="1" s="15">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9">
        <f>IF(A53="","",IF(COUNTIF($A$5:$A$154,A53)&gt;1,"DUPLICATE","UNIQUE"))</f>
        <v/>
      </c>
      <c r="W53" s="29">
        <f>IF(A53="","",IF(T53="Rejected","REJECTED",IF(T53&lt;&gt;"Ready","PENDING APPROVAL",IF(AND(B53&lt;&gt;"",C53&lt;&gt;"",D53&lt;&gt;"",E53&lt;&gt;"",F53&lt;&gt;"",G53&lt;&gt;"",H53&lt;&gt;"",I53&lt;&gt;"",J53&lt;&gt;"",M53&lt;&gt;"",O53&lt;&gt;"",T53&lt;&gt;""),"COMPLETE","MISSING FIELDS"))))</f>
      </c>
    </row>
    <row r="54" ht="15" customHeight="1" s="15">
      <c r="A54" s="28" t="n"/>
      <c r="B54" s="28" t="n"/>
      <c r="C54" s="28" t="n"/>
      <c r="D54" s="28" t="n"/>
      <c r="E54" s="28" t="n"/>
      <c r="F54" s="28" t="n"/>
      <c r="G54" s="28" t="n"/>
      <c r="H54" s="28" t="n"/>
      <c r="I54" s="28" t="n"/>
      <c r="J54" s="28" t="n"/>
      <c r="K54" s="28" t="n"/>
      <c r="L54" s="28" t="n"/>
      <c r="M54" s="28" t="n"/>
      <c r="N54" s="28" t="n"/>
      <c r="O54" s="28" t="n"/>
      <c r="P54" s="28" t="n"/>
      <c r="Q54" s="28" t="n"/>
      <c r="R54" s="28" t="n"/>
      <c r="S54" s="28" t="n"/>
      <c r="T54" s="28" t="n"/>
      <c r="U54" s="28" t="n"/>
      <c r="V54" s="29">
        <f>IF(A54="","",IF(COUNTIF($A$5:$A$154,A54)&gt;1,"DUPLICATE","UNIQUE"))</f>
        <v/>
      </c>
      <c r="W54" s="29">
        <f>IF(A54="","",IF(T54="Rejected","REJECTED",IF(T54&lt;&gt;"Ready","PENDING APPROVAL",IF(AND(B54&lt;&gt;"",C54&lt;&gt;"",D54&lt;&gt;"",E54&lt;&gt;"",F54&lt;&gt;"",G54&lt;&gt;"",H54&lt;&gt;"",I54&lt;&gt;"",J54&lt;&gt;"",M54&lt;&gt;"",O54&lt;&gt;"",T54&lt;&gt;""),"COMPLETE","MISSING FIELDS"))))</f>
      </c>
    </row>
    <row r="55" ht="15" customHeight="1" s="15">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9">
        <f>IF(A55="","",IF(COUNTIF($A$5:$A$154,A55)&gt;1,"DUPLICATE","UNIQUE"))</f>
        <v/>
      </c>
      <c r="W55" s="29">
        <f>IF(A55="","",IF(T55="Rejected","REJECTED",IF(T55&lt;&gt;"Ready","PENDING APPROVAL",IF(AND(B55&lt;&gt;"",C55&lt;&gt;"",D55&lt;&gt;"",E55&lt;&gt;"",F55&lt;&gt;"",G55&lt;&gt;"",H55&lt;&gt;"",I55&lt;&gt;"",J55&lt;&gt;"",M55&lt;&gt;"",O55&lt;&gt;"",T55&lt;&gt;""),"COMPLETE","MISSING FIELDS"))))</f>
      </c>
    </row>
    <row r="56" ht="15" customHeight="1" s="15">
      <c r="A56" s="28" t="n"/>
      <c r="B56" s="28" t="n"/>
      <c r="C56" s="28" t="n"/>
      <c r="D56" s="28" t="n"/>
      <c r="E56" s="28" t="n"/>
      <c r="F56" s="28" t="n"/>
      <c r="G56" s="28" t="n"/>
      <c r="H56" s="28" t="n"/>
      <c r="I56" s="28" t="n"/>
      <c r="J56" s="28" t="n"/>
      <c r="K56" s="28" t="n"/>
      <c r="L56" s="28" t="n"/>
      <c r="M56" s="28" t="n"/>
      <c r="N56" s="28" t="n"/>
      <c r="O56" s="28" t="n"/>
      <c r="P56" s="28" t="n"/>
      <c r="Q56" s="28" t="n"/>
      <c r="R56" s="28" t="n"/>
      <c r="S56" s="28" t="n"/>
      <c r="T56" s="28" t="n"/>
      <c r="U56" s="28" t="n"/>
      <c r="V56" s="29">
        <f>IF(A56="","",IF(COUNTIF($A$5:$A$154,A56)&gt;1,"DUPLICATE","UNIQUE"))</f>
        <v/>
      </c>
      <c r="W56" s="29">
        <f>IF(A56="","",IF(T56="Rejected","REJECTED",IF(T56&lt;&gt;"Ready","PENDING APPROVAL",IF(AND(B56&lt;&gt;"",C56&lt;&gt;"",D56&lt;&gt;"",E56&lt;&gt;"",F56&lt;&gt;"",G56&lt;&gt;"",H56&lt;&gt;"",I56&lt;&gt;"",J56&lt;&gt;"",M56&lt;&gt;"",O56&lt;&gt;"",T56&lt;&gt;""),"COMPLETE","MISSING FIELDS"))))</f>
      </c>
    </row>
    <row r="57" ht="15" customHeight="1" s="15">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9">
        <f>IF(A57="","",IF(COUNTIF($A$5:$A$154,A57)&gt;1,"DUPLICATE","UNIQUE"))</f>
        <v/>
      </c>
      <c r="W57" s="29">
        <f>IF(A57="","",IF(T57="Rejected","REJECTED",IF(T57&lt;&gt;"Ready","PENDING APPROVAL",IF(AND(B57&lt;&gt;"",C57&lt;&gt;"",D57&lt;&gt;"",E57&lt;&gt;"",F57&lt;&gt;"",G57&lt;&gt;"",H57&lt;&gt;"",I57&lt;&gt;"",J57&lt;&gt;"",M57&lt;&gt;"",O57&lt;&gt;"",T57&lt;&gt;""),"COMPLETE","MISSING FIELDS"))))</f>
      </c>
    </row>
    <row r="58" ht="15" customHeight="1" s="15">
      <c r="A58" s="28" t="n"/>
      <c r="B58" s="28" t="n"/>
      <c r="C58" s="28" t="n"/>
      <c r="D58" s="28" t="n"/>
      <c r="E58" s="28" t="n"/>
      <c r="F58" s="28" t="n"/>
      <c r="G58" s="28" t="n"/>
      <c r="H58" s="28" t="n"/>
      <c r="I58" s="28" t="n"/>
      <c r="J58" s="28" t="n"/>
      <c r="K58" s="28" t="n"/>
      <c r="L58" s="28" t="n"/>
      <c r="M58" s="28" t="n"/>
      <c r="N58" s="28" t="n"/>
      <c r="O58" s="28" t="n"/>
      <c r="P58" s="28" t="n"/>
      <c r="Q58" s="28" t="n"/>
      <c r="R58" s="28" t="n"/>
      <c r="S58" s="28" t="n"/>
      <c r="T58" s="28" t="n"/>
      <c r="U58" s="28" t="n"/>
      <c r="V58" s="29">
        <f>IF(A58="","",IF(COUNTIF($A$5:$A$154,A58)&gt;1,"DUPLICATE","UNIQUE"))</f>
        <v/>
      </c>
      <c r="W58" s="29">
        <f>IF(A58="","",IF(T58="Rejected","REJECTED",IF(T58&lt;&gt;"Ready","PENDING APPROVAL",IF(AND(B58&lt;&gt;"",C58&lt;&gt;"",D58&lt;&gt;"",E58&lt;&gt;"",F58&lt;&gt;"",G58&lt;&gt;"",H58&lt;&gt;"",I58&lt;&gt;"",J58&lt;&gt;"",M58&lt;&gt;"",O58&lt;&gt;"",T58&lt;&gt;""),"COMPLETE","MISSING FIELDS"))))</f>
      </c>
    </row>
    <row r="59" ht="15" customHeight="1" s="15">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9">
        <f>IF(A59="","",IF(COUNTIF($A$5:$A$154,A59)&gt;1,"DUPLICATE","UNIQUE"))</f>
        <v/>
      </c>
      <c r="W59" s="29">
        <f>IF(A59="","",IF(T59="Rejected","REJECTED",IF(T59&lt;&gt;"Ready","PENDING APPROVAL",IF(AND(B59&lt;&gt;"",C59&lt;&gt;"",D59&lt;&gt;"",E59&lt;&gt;"",F59&lt;&gt;"",G59&lt;&gt;"",H59&lt;&gt;"",I59&lt;&gt;"",J59&lt;&gt;"",M59&lt;&gt;"",O59&lt;&gt;"",T59&lt;&gt;""),"COMPLETE","MISSING FIELDS"))))</f>
      </c>
    </row>
    <row r="60" ht="15" customHeight="1" s="15">
      <c r="A60" s="28" t="n"/>
      <c r="B60" s="28" t="n"/>
      <c r="C60" s="28" t="n"/>
      <c r="D60" s="28" t="n"/>
      <c r="E60" s="28" t="n"/>
      <c r="F60" s="28" t="n"/>
      <c r="G60" s="28" t="n"/>
      <c r="H60" s="28" t="n"/>
      <c r="I60" s="28" t="n"/>
      <c r="J60" s="28" t="n"/>
      <c r="K60" s="28" t="n"/>
      <c r="L60" s="28" t="n"/>
      <c r="M60" s="28" t="n"/>
      <c r="N60" s="28" t="n"/>
      <c r="O60" s="28" t="n"/>
      <c r="P60" s="28" t="n"/>
      <c r="Q60" s="28" t="n"/>
      <c r="R60" s="28" t="n"/>
      <c r="S60" s="28" t="n"/>
      <c r="T60" s="28" t="n"/>
      <c r="U60" s="28" t="n"/>
      <c r="V60" s="29">
        <f>IF(A60="","",IF(COUNTIF($A$5:$A$154,A60)&gt;1,"DUPLICATE","UNIQUE"))</f>
        <v/>
      </c>
      <c r="W60" s="29">
        <f>IF(A60="","",IF(T60="Rejected","REJECTED",IF(T60&lt;&gt;"Ready","PENDING APPROVAL",IF(AND(B60&lt;&gt;"",C60&lt;&gt;"",D60&lt;&gt;"",E60&lt;&gt;"",F60&lt;&gt;"",G60&lt;&gt;"",H60&lt;&gt;"",I60&lt;&gt;"",J60&lt;&gt;"",M60&lt;&gt;"",O60&lt;&gt;"",T60&lt;&gt;""),"COMPLETE","MISSING FIELDS"))))</f>
      </c>
    </row>
    <row r="61" ht="15" customHeight="1" s="15">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9">
        <f>IF(A61="","",IF(COUNTIF($A$5:$A$154,A61)&gt;1,"DUPLICATE","UNIQUE"))</f>
        <v/>
      </c>
      <c r="W61" s="29">
        <f>IF(A61="","",IF(T61="Rejected","REJECTED",IF(T61&lt;&gt;"Ready","PENDING APPROVAL",IF(AND(B61&lt;&gt;"",C61&lt;&gt;"",D61&lt;&gt;"",E61&lt;&gt;"",F61&lt;&gt;"",G61&lt;&gt;"",H61&lt;&gt;"",I61&lt;&gt;"",J61&lt;&gt;"",M61&lt;&gt;"",O61&lt;&gt;"",T61&lt;&gt;""),"COMPLETE","MISSING FIELDS"))))</f>
      </c>
    </row>
    <row r="62" ht="15" customHeight="1" s="15">
      <c r="A62" s="28" t="n"/>
      <c r="B62" s="28" t="n"/>
      <c r="C62" s="28" t="n"/>
      <c r="D62" s="28" t="n"/>
      <c r="E62" s="28" t="n"/>
      <c r="F62" s="28" t="n"/>
      <c r="G62" s="28" t="n"/>
      <c r="H62" s="28" t="n"/>
      <c r="I62" s="28" t="n"/>
      <c r="J62" s="28" t="n"/>
      <c r="K62" s="28" t="n"/>
      <c r="L62" s="28" t="n"/>
      <c r="M62" s="28" t="n"/>
      <c r="N62" s="28" t="n"/>
      <c r="O62" s="28" t="n"/>
      <c r="P62" s="28" t="n"/>
      <c r="Q62" s="28" t="n"/>
      <c r="R62" s="28" t="n"/>
      <c r="S62" s="28" t="n"/>
      <c r="T62" s="28" t="n"/>
      <c r="U62" s="28" t="n"/>
      <c r="V62" s="29">
        <f>IF(A62="","",IF(COUNTIF($A$5:$A$154,A62)&gt;1,"DUPLICATE","UNIQUE"))</f>
        <v/>
      </c>
      <c r="W62" s="29">
        <f>IF(A62="","",IF(T62="Rejected","REJECTED",IF(T62&lt;&gt;"Ready","PENDING APPROVAL",IF(AND(B62&lt;&gt;"",C62&lt;&gt;"",D62&lt;&gt;"",E62&lt;&gt;"",F62&lt;&gt;"",G62&lt;&gt;"",H62&lt;&gt;"",I62&lt;&gt;"",J62&lt;&gt;"",M62&lt;&gt;"",O62&lt;&gt;"",T62&lt;&gt;""),"COMPLETE","MISSING FIELDS"))))</f>
      </c>
    </row>
    <row r="63" ht="15" customHeight="1" s="15">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9">
        <f>IF(A63="","",IF(COUNTIF($A$5:$A$154,A63)&gt;1,"DUPLICATE","UNIQUE"))</f>
        <v/>
      </c>
      <c r="W63" s="29">
        <f>IF(A63="","",IF(T63="Rejected","REJECTED",IF(T63&lt;&gt;"Ready","PENDING APPROVAL",IF(AND(B63&lt;&gt;"",C63&lt;&gt;"",D63&lt;&gt;"",E63&lt;&gt;"",F63&lt;&gt;"",G63&lt;&gt;"",H63&lt;&gt;"",I63&lt;&gt;"",J63&lt;&gt;"",M63&lt;&gt;"",O63&lt;&gt;"",T63&lt;&gt;""),"COMPLETE","MISSING FIELDS"))))</f>
      </c>
    </row>
    <row r="64" ht="15" customHeight="1" s="15">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9">
        <f>IF(A64="","",IF(COUNTIF($A$5:$A$154,A64)&gt;1,"DUPLICATE","UNIQUE"))</f>
        <v/>
      </c>
      <c r="W64" s="29">
        <f>IF(A64="","",IF(T64="Rejected","REJECTED",IF(T64&lt;&gt;"Ready","PENDING APPROVAL",IF(AND(B64&lt;&gt;"",C64&lt;&gt;"",D64&lt;&gt;"",E64&lt;&gt;"",F64&lt;&gt;"",G64&lt;&gt;"",H64&lt;&gt;"",I64&lt;&gt;"",J64&lt;&gt;"",M64&lt;&gt;"",O64&lt;&gt;"",T64&lt;&gt;""),"COMPLETE","MISSING FIELDS"))))</f>
      </c>
    </row>
    <row r="65" ht="15" customHeight="1" s="15">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9">
        <f>IF(A65="","",IF(COUNTIF($A$5:$A$154,A65)&gt;1,"DUPLICATE","UNIQUE"))</f>
        <v/>
      </c>
      <c r="W65" s="29">
        <f>IF(A65="","",IF(T65="Rejected","REJECTED",IF(T65&lt;&gt;"Ready","PENDING APPROVAL",IF(AND(B65&lt;&gt;"",C65&lt;&gt;"",D65&lt;&gt;"",E65&lt;&gt;"",F65&lt;&gt;"",G65&lt;&gt;"",H65&lt;&gt;"",I65&lt;&gt;"",J65&lt;&gt;"",M65&lt;&gt;"",O65&lt;&gt;"",T65&lt;&gt;""),"COMPLETE","MISSING FIELDS"))))</f>
      </c>
    </row>
    <row r="66" ht="15" customHeight="1" s="15">
      <c r="A66" s="28" t="n"/>
      <c r="B66" s="28" t="n"/>
      <c r="C66" s="28" t="n"/>
      <c r="D66" s="28" t="n"/>
      <c r="E66" s="28" t="n"/>
      <c r="F66" s="28" t="n"/>
      <c r="G66" s="28" t="n"/>
      <c r="H66" s="28" t="n"/>
      <c r="I66" s="28" t="n"/>
      <c r="J66" s="28" t="n"/>
      <c r="K66" s="28" t="n"/>
      <c r="L66" s="28" t="n"/>
      <c r="M66" s="28" t="n"/>
      <c r="N66" s="28" t="n"/>
      <c r="O66" s="28" t="n"/>
      <c r="P66" s="28" t="n"/>
      <c r="Q66" s="28" t="n"/>
      <c r="R66" s="28" t="n"/>
      <c r="S66" s="28" t="n"/>
      <c r="T66" s="28" t="n"/>
      <c r="U66" s="28" t="n"/>
      <c r="V66" s="29">
        <f>IF(A66="","",IF(COUNTIF($A$5:$A$154,A66)&gt;1,"DUPLICATE","UNIQUE"))</f>
        <v/>
      </c>
      <c r="W66" s="29">
        <f>IF(A66="","",IF(T66="Rejected","REJECTED",IF(T66&lt;&gt;"Ready","PENDING APPROVAL",IF(AND(B66&lt;&gt;"",C66&lt;&gt;"",D66&lt;&gt;"",E66&lt;&gt;"",F66&lt;&gt;"",G66&lt;&gt;"",H66&lt;&gt;"",I66&lt;&gt;"",J66&lt;&gt;"",M66&lt;&gt;"",O66&lt;&gt;"",T66&lt;&gt;""),"COMPLETE","MISSING FIELDS"))))</f>
      </c>
    </row>
    <row r="67" ht="15" customHeight="1" s="15">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9">
        <f>IF(A67="","",IF(COUNTIF($A$5:$A$154,A67)&gt;1,"DUPLICATE","UNIQUE"))</f>
        <v/>
      </c>
      <c r="W67" s="29">
        <f>IF(A67="","",IF(T67="Rejected","REJECTED",IF(T67&lt;&gt;"Ready","PENDING APPROVAL",IF(AND(B67&lt;&gt;"",C67&lt;&gt;"",D67&lt;&gt;"",E67&lt;&gt;"",F67&lt;&gt;"",G67&lt;&gt;"",H67&lt;&gt;"",I67&lt;&gt;"",J67&lt;&gt;"",M67&lt;&gt;"",O67&lt;&gt;"",T67&lt;&gt;""),"COMPLETE","MISSING FIELDS"))))</f>
      </c>
    </row>
    <row r="68" ht="15" customHeight="1" s="15">
      <c r="A68" s="28" t="n"/>
      <c r="B68" s="28" t="n"/>
      <c r="C68" s="28" t="n"/>
      <c r="D68" s="28" t="n"/>
      <c r="E68" s="28" t="n"/>
      <c r="F68" s="28" t="n"/>
      <c r="G68" s="28" t="n"/>
      <c r="H68" s="28" t="n"/>
      <c r="I68" s="28" t="n"/>
      <c r="J68" s="28" t="n"/>
      <c r="K68" s="28" t="n"/>
      <c r="L68" s="28" t="n"/>
      <c r="M68" s="28" t="n"/>
      <c r="N68" s="28" t="n"/>
      <c r="O68" s="28" t="n"/>
      <c r="P68" s="28" t="n"/>
      <c r="Q68" s="28" t="n"/>
      <c r="R68" s="28" t="n"/>
      <c r="S68" s="28" t="n"/>
      <c r="T68" s="28" t="n"/>
      <c r="U68" s="28" t="n"/>
      <c r="V68" s="29">
        <f>IF(A68="","",IF(COUNTIF($A$5:$A$154,A68)&gt;1,"DUPLICATE","UNIQUE"))</f>
        <v/>
      </c>
      <c r="W68" s="29">
        <f>IF(A68="","",IF(T68="Rejected","REJECTED",IF(T68&lt;&gt;"Ready","PENDING APPROVAL",IF(AND(B68&lt;&gt;"",C68&lt;&gt;"",D68&lt;&gt;"",E68&lt;&gt;"",F68&lt;&gt;"",G68&lt;&gt;"",H68&lt;&gt;"",I68&lt;&gt;"",J68&lt;&gt;"",M68&lt;&gt;"",O68&lt;&gt;"",T68&lt;&gt;""),"COMPLETE","MISSING FIELDS"))))</f>
      </c>
    </row>
    <row r="69" ht="15" customHeight="1" s="15">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9">
        <f>IF(A69="","",IF(COUNTIF($A$5:$A$154,A69)&gt;1,"DUPLICATE","UNIQUE"))</f>
        <v/>
      </c>
      <c r="W69" s="29">
        <f>IF(A69="","",IF(T69="Rejected","REJECTED",IF(T69&lt;&gt;"Ready","PENDING APPROVAL",IF(AND(B69&lt;&gt;"",C69&lt;&gt;"",D69&lt;&gt;"",E69&lt;&gt;"",F69&lt;&gt;"",G69&lt;&gt;"",H69&lt;&gt;"",I69&lt;&gt;"",J69&lt;&gt;"",M69&lt;&gt;"",O69&lt;&gt;"",T69&lt;&gt;""),"COMPLETE","MISSING FIELDS"))))</f>
      </c>
    </row>
    <row r="70" ht="15" customHeight="1" s="15">
      <c r="A70" s="28" t="n"/>
      <c r="B70" s="28" t="n"/>
      <c r="C70" s="28" t="n"/>
      <c r="D70" s="28" t="n"/>
      <c r="E70" s="28" t="n"/>
      <c r="F70" s="28" t="n"/>
      <c r="G70" s="28" t="n"/>
      <c r="H70" s="28" t="n"/>
      <c r="I70" s="28" t="n"/>
      <c r="J70" s="28" t="n"/>
      <c r="K70" s="28" t="n"/>
      <c r="L70" s="28" t="n"/>
      <c r="M70" s="28" t="n"/>
      <c r="N70" s="28" t="n"/>
      <c r="O70" s="28" t="n"/>
      <c r="P70" s="28" t="n"/>
      <c r="Q70" s="28" t="n"/>
      <c r="R70" s="28" t="n"/>
      <c r="S70" s="28" t="n"/>
      <c r="T70" s="28" t="n"/>
      <c r="U70" s="28" t="n"/>
      <c r="V70" s="29">
        <f>IF(A70="","",IF(COUNTIF($A$5:$A$154,A70)&gt;1,"DUPLICATE","UNIQUE"))</f>
        <v/>
      </c>
      <c r="W70" s="29">
        <f>IF(A70="","",IF(T70="Rejected","REJECTED",IF(T70&lt;&gt;"Ready","PENDING APPROVAL",IF(AND(B70&lt;&gt;"",C70&lt;&gt;"",D70&lt;&gt;"",E70&lt;&gt;"",F70&lt;&gt;"",G70&lt;&gt;"",H70&lt;&gt;"",I70&lt;&gt;"",J70&lt;&gt;"",M70&lt;&gt;"",O70&lt;&gt;"",T70&lt;&gt;""),"COMPLETE","MISSING FIELDS"))))</f>
      </c>
    </row>
    <row r="71" ht="15" customHeight="1" s="15">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9">
        <f>IF(A71="","",IF(COUNTIF($A$5:$A$154,A71)&gt;1,"DUPLICATE","UNIQUE"))</f>
        <v/>
      </c>
      <c r="W71" s="29">
        <f>IF(A71="","",IF(T71="Rejected","REJECTED",IF(T71&lt;&gt;"Ready","PENDING APPROVAL",IF(AND(B71&lt;&gt;"",C71&lt;&gt;"",D71&lt;&gt;"",E71&lt;&gt;"",F71&lt;&gt;"",G71&lt;&gt;"",H71&lt;&gt;"",I71&lt;&gt;"",J71&lt;&gt;"",M71&lt;&gt;"",O71&lt;&gt;"",T71&lt;&gt;""),"COMPLETE","MISSING FIELDS"))))</f>
      </c>
    </row>
    <row r="72" ht="15" customHeight="1" s="15">
      <c r="A72" s="28" t="n"/>
      <c r="B72" s="28" t="n"/>
      <c r="C72" s="28" t="n"/>
      <c r="D72" s="28" t="n"/>
      <c r="E72" s="28" t="n"/>
      <c r="F72" s="28" t="n"/>
      <c r="G72" s="28" t="n"/>
      <c r="H72" s="28" t="n"/>
      <c r="I72" s="28" t="n"/>
      <c r="J72" s="28" t="n"/>
      <c r="K72" s="28" t="n"/>
      <c r="L72" s="28" t="n"/>
      <c r="M72" s="28" t="n"/>
      <c r="N72" s="28" t="n"/>
      <c r="O72" s="28" t="n"/>
      <c r="P72" s="28" t="n"/>
      <c r="Q72" s="28" t="n"/>
      <c r="R72" s="28" t="n"/>
      <c r="S72" s="28" t="n"/>
      <c r="T72" s="28" t="n"/>
      <c r="U72" s="28" t="n"/>
      <c r="V72" s="29">
        <f>IF(A72="","",IF(COUNTIF($A$5:$A$154,A72)&gt;1,"DUPLICATE","UNIQUE"))</f>
        <v/>
      </c>
      <c r="W72" s="29">
        <f>IF(A72="","",IF(T72="Rejected","REJECTED",IF(T72&lt;&gt;"Ready","PENDING APPROVAL",IF(AND(B72&lt;&gt;"",C72&lt;&gt;"",D72&lt;&gt;"",E72&lt;&gt;"",F72&lt;&gt;"",G72&lt;&gt;"",H72&lt;&gt;"",I72&lt;&gt;"",J72&lt;&gt;"",M72&lt;&gt;"",O72&lt;&gt;"",T72&lt;&gt;""),"COMPLETE","MISSING FIELDS"))))</f>
      </c>
    </row>
    <row r="73" ht="15" customHeight="1" s="15">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9">
        <f>IF(A73="","",IF(COUNTIF($A$5:$A$154,A73)&gt;1,"DUPLICATE","UNIQUE"))</f>
        <v/>
      </c>
      <c r="W73" s="29">
        <f>IF(A73="","",IF(T73="Rejected","REJECTED",IF(T73&lt;&gt;"Ready","PENDING APPROVAL",IF(AND(B73&lt;&gt;"",C73&lt;&gt;"",D73&lt;&gt;"",E73&lt;&gt;"",F73&lt;&gt;"",G73&lt;&gt;"",H73&lt;&gt;"",I73&lt;&gt;"",J73&lt;&gt;"",M73&lt;&gt;"",O73&lt;&gt;"",T73&lt;&gt;""),"COMPLETE","MISSING FIELDS"))))</f>
      </c>
    </row>
    <row r="74" ht="15" customHeight="1" s="15">
      <c r="A74" s="28" t="n"/>
      <c r="B74" s="28" t="n"/>
      <c r="C74" s="28" t="n"/>
      <c r="D74" s="28" t="n"/>
      <c r="E74" s="28" t="n"/>
      <c r="F74" s="28" t="n"/>
      <c r="G74" s="28" t="n"/>
      <c r="H74" s="28" t="n"/>
      <c r="I74" s="28" t="n"/>
      <c r="J74" s="28" t="n"/>
      <c r="K74" s="28" t="n"/>
      <c r="L74" s="28" t="n"/>
      <c r="M74" s="28" t="n"/>
      <c r="N74" s="28" t="n"/>
      <c r="O74" s="28" t="n"/>
      <c r="P74" s="28" t="n"/>
      <c r="Q74" s="28" t="n"/>
      <c r="R74" s="28" t="n"/>
      <c r="S74" s="28" t="n"/>
      <c r="T74" s="28" t="n"/>
      <c r="U74" s="28" t="n"/>
      <c r="V74" s="29">
        <f>IF(A74="","",IF(COUNTIF($A$5:$A$154,A74)&gt;1,"DUPLICATE","UNIQUE"))</f>
        <v/>
      </c>
      <c r="W74" s="29">
        <f>IF(A74="","",IF(T74="Rejected","REJECTED",IF(T74&lt;&gt;"Ready","PENDING APPROVAL",IF(AND(B74&lt;&gt;"",C74&lt;&gt;"",D74&lt;&gt;"",E74&lt;&gt;"",F74&lt;&gt;"",G74&lt;&gt;"",H74&lt;&gt;"",I74&lt;&gt;"",J74&lt;&gt;"",M74&lt;&gt;"",O74&lt;&gt;"",T74&lt;&gt;""),"COMPLETE","MISSING FIELDS"))))</f>
      </c>
    </row>
    <row r="75" ht="15" customHeight="1" s="15">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9">
        <f>IF(A75="","",IF(COUNTIF($A$5:$A$154,A75)&gt;1,"DUPLICATE","UNIQUE"))</f>
        <v/>
      </c>
      <c r="W75" s="29">
        <f>IF(A75="","",IF(T75="Rejected","REJECTED",IF(T75&lt;&gt;"Ready","PENDING APPROVAL",IF(AND(B75&lt;&gt;"",C75&lt;&gt;"",D75&lt;&gt;"",E75&lt;&gt;"",F75&lt;&gt;"",G75&lt;&gt;"",H75&lt;&gt;"",I75&lt;&gt;"",J75&lt;&gt;"",M75&lt;&gt;"",O75&lt;&gt;"",T75&lt;&gt;""),"COMPLETE","MISSING FIELDS"))))</f>
      </c>
    </row>
    <row r="76" ht="15" customHeight="1" s="15">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c r="V76" s="29">
        <f>IF(A76="","",IF(COUNTIF($A$5:$A$154,A76)&gt;1,"DUPLICATE","UNIQUE"))</f>
        <v/>
      </c>
      <c r="W76" s="29">
        <f>IF(A76="","",IF(T76="Rejected","REJECTED",IF(T76&lt;&gt;"Ready","PENDING APPROVAL",IF(AND(B76&lt;&gt;"",C76&lt;&gt;"",D76&lt;&gt;"",E76&lt;&gt;"",F76&lt;&gt;"",G76&lt;&gt;"",H76&lt;&gt;"",I76&lt;&gt;"",J76&lt;&gt;"",M76&lt;&gt;"",O76&lt;&gt;"",T76&lt;&gt;""),"COMPLETE","MISSING FIELDS"))))</f>
      </c>
    </row>
    <row r="77" ht="15" customHeight="1" s="15">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9">
        <f>IF(A77="","",IF(COUNTIF($A$5:$A$154,A77)&gt;1,"DUPLICATE","UNIQUE"))</f>
        <v/>
      </c>
      <c r="W77" s="29">
        <f>IF(A77="","",IF(T77="Rejected","REJECTED",IF(T77&lt;&gt;"Ready","PENDING APPROVAL",IF(AND(B77&lt;&gt;"",C77&lt;&gt;"",D77&lt;&gt;"",E77&lt;&gt;"",F77&lt;&gt;"",G77&lt;&gt;"",H77&lt;&gt;"",I77&lt;&gt;"",J77&lt;&gt;"",M77&lt;&gt;"",O77&lt;&gt;"",T77&lt;&gt;""),"COMPLETE","MISSING FIELDS"))))</f>
      </c>
    </row>
    <row r="78" ht="15" customHeight="1" s="15">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9">
        <f>IF(A78="","",IF(COUNTIF($A$5:$A$154,A78)&gt;1,"DUPLICATE","UNIQUE"))</f>
        <v/>
      </c>
      <c r="W78" s="29">
        <f>IF(A78="","",IF(T78="Rejected","REJECTED",IF(T78&lt;&gt;"Ready","PENDING APPROVAL",IF(AND(B78&lt;&gt;"",C78&lt;&gt;"",D78&lt;&gt;"",E78&lt;&gt;"",F78&lt;&gt;"",G78&lt;&gt;"",H78&lt;&gt;"",I78&lt;&gt;"",J78&lt;&gt;"",M78&lt;&gt;"",O78&lt;&gt;"",T78&lt;&gt;""),"COMPLETE","MISSING FIELDS"))))</f>
      </c>
    </row>
    <row r="79" ht="15" customHeight="1" s="15">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9">
        <f>IF(A79="","",IF(COUNTIF($A$5:$A$154,A79)&gt;1,"DUPLICATE","UNIQUE"))</f>
        <v/>
      </c>
      <c r="W79" s="29">
        <f>IF(A79="","",IF(T79="Rejected","REJECTED",IF(T79&lt;&gt;"Ready","PENDING APPROVAL",IF(AND(B79&lt;&gt;"",C79&lt;&gt;"",D79&lt;&gt;"",E79&lt;&gt;"",F79&lt;&gt;"",G79&lt;&gt;"",H79&lt;&gt;"",I79&lt;&gt;"",J79&lt;&gt;"",M79&lt;&gt;"",O79&lt;&gt;"",T79&lt;&gt;""),"COMPLETE","MISSING FIELDS"))))</f>
      </c>
    </row>
    <row r="80" ht="15" customHeight="1" s="15">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9">
        <f>IF(A80="","",IF(COUNTIF($A$5:$A$154,A80)&gt;1,"DUPLICATE","UNIQUE"))</f>
        <v/>
      </c>
      <c r="W80" s="29">
        <f>IF(A80="","",IF(T80="Rejected","REJECTED",IF(T80&lt;&gt;"Ready","PENDING APPROVAL",IF(AND(B80&lt;&gt;"",C80&lt;&gt;"",D80&lt;&gt;"",E80&lt;&gt;"",F80&lt;&gt;"",G80&lt;&gt;"",H80&lt;&gt;"",I80&lt;&gt;"",J80&lt;&gt;"",M80&lt;&gt;"",O80&lt;&gt;"",T80&lt;&gt;""),"COMPLETE","MISSING FIELDS"))))</f>
      </c>
    </row>
    <row r="81" ht="15" customHeight="1" s="15">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9">
        <f>IF(A81="","",IF(COUNTIF($A$5:$A$154,A81)&gt;1,"DUPLICATE","UNIQUE"))</f>
        <v/>
      </c>
      <c r="W81" s="29">
        <f>IF(A81="","",IF(T81="Rejected","REJECTED",IF(T81&lt;&gt;"Ready","PENDING APPROVAL",IF(AND(B81&lt;&gt;"",C81&lt;&gt;"",D81&lt;&gt;"",E81&lt;&gt;"",F81&lt;&gt;"",G81&lt;&gt;"",H81&lt;&gt;"",I81&lt;&gt;"",J81&lt;&gt;"",M81&lt;&gt;"",O81&lt;&gt;"",T81&lt;&gt;""),"COMPLETE","MISSING FIELDS"))))</f>
      </c>
    </row>
    <row r="82" ht="15" customHeight="1" s="15">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9">
        <f>IF(A82="","",IF(COUNTIF($A$5:$A$154,A82)&gt;1,"DUPLICATE","UNIQUE"))</f>
        <v/>
      </c>
      <c r="W82" s="29">
        <f>IF(A82="","",IF(T82="Rejected","REJECTED",IF(T82&lt;&gt;"Ready","PENDING APPROVAL",IF(AND(B82&lt;&gt;"",C82&lt;&gt;"",D82&lt;&gt;"",E82&lt;&gt;"",F82&lt;&gt;"",G82&lt;&gt;"",H82&lt;&gt;"",I82&lt;&gt;"",J82&lt;&gt;"",M82&lt;&gt;"",O82&lt;&gt;"",T82&lt;&gt;""),"COMPLETE","MISSING FIELDS"))))</f>
      </c>
    </row>
    <row r="83" ht="15" customHeight="1" s="15">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9">
        <f>IF(A83="","",IF(COUNTIF($A$5:$A$154,A83)&gt;1,"DUPLICATE","UNIQUE"))</f>
        <v/>
      </c>
      <c r="W83" s="29">
        <f>IF(A83="","",IF(T83="Rejected","REJECTED",IF(T83&lt;&gt;"Ready","PENDING APPROVAL",IF(AND(B83&lt;&gt;"",C83&lt;&gt;"",D83&lt;&gt;"",E83&lt;&gt;"",F83&lt;&gt;"",G83&lt;&gt;"",H83&lt;&gt;"",I83&lt;&gt;"",J83&lt;&gt;"",M83&lt;&gt;"",O83&lt;&gt;"",T83&lt;&gt;""),"COMPLETE","MISSING FIELDS"))))</f>
      </c>
    </row>
    <row r="84" ht="15" customHeight="1" s="15">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9">
        <f>IF(A84="","",IF(COUNTIF($A$5:$A$154,A84)&gt;1,"DUPLICATE","UNIQUE"))</f>
        <v/>
      </c>
      <c r="W84" s="29">
        <f>IF(A84="","",IF(T84="Rejected","REJECTED",IF(T84&lt;&gt;"Ready","PENDING APPROVAL",IF(AND(B84&lt;&gt;"",C84&lt;&gt;"",D84&lt;&gt;"",E84&lt;&gt;"",F84&lt;&gt;"",G84&lt;&gt;"",H84&lt;&gt;"",I84&lt;&gt;"",J84&lt;&gt;"",M84&lt;&gt;"",O84&lt;&gt;"",T84&lt;&gt;""),"COMPLETE","MISSING FIELDS"))))</f>
      </c>
    </row>
    <row r="85" ht="15" customHeight="1" s="15">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9">
        <f>IF(A85="","",IF(COUNTIF($A$5:$A$154,A85)&gt;1,"DUPLICATE","UNIQUE"))</f>
        <v/>
      </c>
      <c r="W85" s="29">
        <f>IF(A85="","",IF(T85="Rejected","REJECTED",IF(T85&lt;&gt;"Ready","PENDING APPROVAL",IF(AND(B85&lt;&gt;"",C85&lt;&gt;"",D85&lt;&gt;"",E85&lt;&gt;"",F85&lt;&gt;"",G85&lt;&gt;"",H85&lt;&gt;"",I85&lt;&gt;"",J85&lt;&gt;"",M85&lt;&gt;"",O85&lt;&gt;"",T85&lt;&gt;""),"COMPLETE","MISSING FIELDS"))))</f>
      </c>
    </row>
    <row r="86" ht="15" customHeight="1" s="15">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9">
        <f>IF(A86="","",IF(COUNTIF($A$5:$A$154,A86)&gt;1,"DUPLICATE","UNIQUE"))</f>
        <v/>
      </c>
      <c r="W86" s="29">
        <f>IF(A86="","",IF(T86="Rejected","REJECTED",IF(T86&lt;&gt;"Ready","PENDING APPROVAL",IF(AND(B86&lt;&gt;"",C86&lt;&gt;"",D86&lt;&gt;"",E86&lt;&gt;"",F86&lt;&gt;"",G86&lt;&gt;"",H86&lt;&gt;"",I86&lt;&gt;"",J86&lt;&gt;"",M86&lt;&gt;"",O86&lt;&gt;"",T86&lt;&gt;""),"COMPLETE","MISSING FIELDS"))))</f>
      </c>
    </row>
    <row r="87" ht="15" customHeight="1" s="15">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9">
        <f>IF(A87="","",IF(COUNTIF($A$5:$A$154,A87)&gt;1,"DUPLICATE","UNIQUE"))</f>
        <v/>
      </c>
      <c r="W87" s="29">
        <f>IF(A87="","",IF(T87="Rejected","REJECTED",IF(T87&lt;&gt;"Ready","PENDING APPROVAL",IF(AND(B87&lt;&gt;"",C87&lt;&gt;"",D87&lt;&gt;"",E87&lt;&gt;"",F87&lt;&gt;"",G87&lt;&gt;"",H87&lt;&gt;"",I87&lt;&gt;"",J87&lt;&gt;"",M87&lt;&gt;"",O87&lt;&gt;"",T87&lt;&gt;""),"COMPLETE","MISSING FIELDS"))))</f>
      </c>
    </row>
    <row r="88" ht="15" customHeight="1" s="15">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9">
        <f>IF(A88="","",IF(COUNTIF($A$5:$A$154,A88)&gt;1,"DUPLICATE","UNIQUE"))</f>
        <v/>
      </c>
      <c r="W88" s="29">
        <f>IF(A88="","",IF(T88="Rejected","REJECTED",IF(T88&lt;&gt;"Ready","PENDING APPROVAL",IF(AND(B88&lt;&gt;"",C88&lt;&gt;"",D88&lt;&gt;"",E88&lt;&gt;"",F88&lt;&gt;"",G88&lt;&gt;"",H88&lt;&gt;"",I88&lt;&gt;"",J88&lt;&gt;"",M88&lt;&gt;"",O88&lt;&gt;"",T88&lt;&gt;""),"COMPLETE","MISSING FIELDS"))))</f>
      </c>
    </row>
    <row r="89" ht="15" customHeight="1" s="15">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9">
        <f>IF(A89="","",IF(COUNTIF($A$5:$A$154,A89)&gt;1,"DUPLICATE","UNIQUE"))</f>
        <v/>
      </c>
      <c r="W89" s="29">
        <f>IF(A89="","",IF(T89="Rejected","REJECTED",IF(T89&lt;&gt;"Ready","PENDING APPROVAL",IF(AND(B89&lt;&gt;"",C89&lt;&gt;"",D89&lt;&gt;"",E89&lt;&gt;"",F89&lt;&gt;"",G89&lt;&gt;"",H89&lt;&gt;"",I89&lt;&gt;"",J89&lt;&gt;"",M89&lt;&gt;"",O89&lt;&gt;"",T89&lt;&gt;""),"COMPLETE","MISSING FIELDS"))))</f>
      </c>
    </row>
    <row r="90" ht="15" customHeight="1" s="15">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9">
        <f>IF(A90="","",IF(COUNTIF($A$5:$A$154,A90)&gt;1,"DUPLICATE","UNIQUE"))</f>
        <v/>
      </c>
      <c r="W90" s="29">
        <f>IF(A90="","",IF(T90="Rejected","REJECTED",IF(T90&lt;&gt;"Ready","PENDING APPROVAL",IF(AND(B90&lt;&gt;"",C90&lt;&gt;"",D90&lt;&gt;"",E90&lt;&gt;"",F90&lt;&gt;"",G90&lt;&gt;"",H90&lt;&gt;"",I90&lt;&gt;"",J90&lt;&gt;"",M90&lt;&gt;"",O90&lt;&gt;"",T90&lt;&gt;""),"COMPLETE","MISSING FIELDS"))))</f>
      </c>
    </row>
    <row r="91" ht="15" customHeight="1" s="15">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9">
        <f>IF(A91="","",IF(COUNTIF($A$5:$A$154,A91)&gt;1,"DUPLICATE","UNIQUE"))</f>
        <v/>
      </c>
      <c r="W91" s="29">
        <f>IF(A91="","",IF(T91="Rejected","REJECTED",IF(T91&lt;&gt;"Ready","PENDING APPROVAL",IF(AND(B91&lt;&gt;"",C91&lt;&gt;"",D91&lt;&gt;"",E91&lt;&gt;"",F91&lt;&gt;"",G91&lt;&gt;"",H91&lt;&gt;"",I91&lt;&gt;"",J91&lt;&gt;"",M91&lt;&gt;"",O91&lt;&gt;"",T91&lt;&gt;""),"COMPLETE","MISSING FIELDS"))))</f>
      </c>
    </row>
    <row r="92" ht="15" customHeight="1" s="15">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9">
        <f>IF(A92="","",IF(COUNTIF($A$5:$A$154,A92)&gt;1,"DUPLICATE","UNIQUE"))</f>
        <v/>
      </c>
      <c r="W92" s="29">
        <f>IF(A92="","",IF(T92="Rejected","REJECTED",IF(T92&lt;&gt;"Ready","PENDING APPROVAL",IF(AND(B92&lt;&gt;"",C92&lt;&gt;"",D92&lt;&gt;"",E92&lt;&gt;"",F92&lt;&gt;"",G92&lt;&gt;"",H92&lt;&gt;"",I92&lt;&gt;"",J92&lt;&gt;"",M92&lt;&gt;"",O92&lt;&gt;"",T92&lt;&gt;""),"COMPLETE","MISSING FIELDS"))))</f>
      </c>
    </row>
    <row r="93" ht="15" customHeight="1" s="15">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9">
        <f>IF(A93="","",IF(COUNTIF($A$5:$A$154,A93)&gt;1,"DUPLICATE","UNIQUE"))</f>
        <v/>
      </c>
      <c r="W93" s="29">
        <f>IF(A93="","",IF(T93="Rejected","REJECTED",IF(T93&lt;&gt;"Ready","PENDING APPROVAL",IF(AND(B93&lt;&gt;"",C93&lt;&gt;"",D93&lt;&gt;"",E93&lt;&gt;"",F93&lt;&gt;"",G93&lt;&gt;"",H93&lt;&gt;"",I93&lt;&gt;"",J93&lt;&gt;"",M93&lt;&gt;"",O93&lt;&gt;"",T93&lt;&gt;""),"COMPLETE","MISSING FIELDS"))))</f>
      </c>
    </row>
    <row r="94" ht="15" customHeight="1" s="15">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9">
        <f>IF(A94="","",IF(COUNTIF($A$5:$A$154,A94)&gt;1,"DUPLICATE","UNIQUE"))</f>
        <v/>
      </c>
      <c r="W94" s="29">
        <f>IF(A94="","",IF(T94="Rejected","REJECTED",IF(T94&lt;&gt;"Ready","PENDING APPROVAL",IF(AND(B94&lt;&gt;"",C94&lt;&gt;"",D94&lt;&gt;"",E94&lt;&gt;"",F94&lt;&gt;"",G94&lt;&gt;"",H94&lt;&gt;"",I94&lt;&gt;"",J94&lt;&gt;"",M94&lt;&gt;"",O94&lt;&gt;"",T94&lt;&gt;""),"COMPLETE","MISSING FIELDS"))))</f>
      </c>
    </row>
    <row r="95" ht="15" customHeight="1" s="15">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9">
        <f>IF(A95="","",IF(COUNTIF($A$5:$A$154,A95)&gt;1,"DUPLICATE","UNIQUE"))</f>
        <v/>
      </c>
      <c r="W95" s="29">
        <f>IF(A95="","",IF(T95="Rejected","REJECTED",IF(T95&lt;&gt;"Ready","PENDING APPROVAL",IF(AND(B95&lt;&gt;"",C95&lt;&gt;"",D95&lt;&gt;"",E95&lt;&gt;"",F95&lt;&gt;"",G95&lt;&gt;"",H95&lt;&gt;"",I95&lt;&gt;"",J95&lt;&gt;"",M95&lt;&gt;"",O95&lt;&gt;"",T95&lt;&gt;""),"COMPLETE","MISSING FIELDS"))))</f>
      </c>
    </row>
    <row r="96" ht="15" customHeight="1" s="15">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9">
        <f>IF(A96="","",IF(COUNTIF($A$5:$A$154,A96)&gt;1,"DUPLICATE","UNIQUE"))</f>
        <v/>
      </c>
      <c r="W96" s="29">
        <f>IF(A96="","",IF(T96="Rejected","REJECTED",IF(T96&lt;&gt;"Ready","PENDING APPROVAL",IF(AND(B96&lt;&gt;"",C96&lt;&gt;"",D96&lt;&gt;"",E96&lt;&gt;"",F96&lt;&gt;"",G96&lt;&gt;"",H96&lt;&gt;"",I96&lt;&gt;"",J96&lt;&gt;"",M96&lt;&gt;"",O96&lt;&gt;"",T96&lt;&gt;""),"COMPLETE","MISSING FIELDS"))))</f>
      </c>
    </row>
    <row r="97" ht="15" customHeight="1" s="15">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9">
        <f>IF(A97="","",IF(COUNTIF($A$5:$A$154,A97)&gt;1,"DUPLICATE","UNIQUE"))</f>
        <v/>
      </c>
      <c r="W97" s="29">
        <f>IF(A97="","",IF(T97="Rejected","REJECTED",IF(T97&lt;&gt;"Ready","PENDING APPROVAL",IF(AND(B97&lt;&gt;"",C97&lt;&gt;"",D97&lt;&gt;"",E97&lt;&gt;"",F97&lt;&gt;"",G97&lt;&gt;"",H97&lt;&gt;"",I97&lt;&gt;"",J97&lt;&gt;"",M97&lt;&gt;"",O97&lt;&gt;"",T97&lt;&gt;""),"COMPLETE","MISSING FIELDS"))))</f>
      </c>
    </row>
    <row r="98" ht="15" customHeight="1" s="15">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9">
        <f>IF(A98="","",IF(COUNTIF($A$5:$A$154,A98)&gt;1,"DUPLICATE","UNIQUE"))</f>
        <v/>
      </c>
      <c r="W98" s="29">
        <f>IF(A98="","",IF(T98="Rejected","REJECTED",IF(T98&lt;&gt;"Ready","PENDING APPROVAL",IF(AND(B98&lt;&gt;"",C98&lt;&gt;"",D98&lt;&gt;"",E98&lt;&gt;"",F98&lt;&gt;"",G98&lt;&gt;"",H98&lt;&gt;"",I98&lt;&gt;"",J98&lt;&gt;"",M98&lt;&gt;"",O98&lt;&gt;"",T98&lt;&gt;""),"COMPLETE","MISSING FIELDS"))))</f>
      </c>
    </row>
    <row r="99" ht="15" customHeight="1" s="15">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9">
        <f>IF(A99="","",IF(COUNTIF($A$5:$A$154,A99)&gt;1,"DUPLICATE","UNIQUE"))</f>
        <v/>
      </c>
      <c r="W99" s="29">
        <f>IF(A99="","",IF(T99="Rejected","REJECTED",IF(T99&lt;&gt;"Ready","PENDING APPROVAL",IF(AND(B99&lt;&gt;"",C99&lt;&gt;"",D99&lt;&gt;"",E99&lt;&gt;"",F99&lt;&gt;"",G99&lt;&gt;"",H99&lt;&gt;"",I99&lt;&gt;"",J99&lt;&gt;"",M99&lt;&gt;"",O99&lt;&gt;"",T99&lt;&gt;""),"COMPLETE","MISSING FIELDS"))))</f>
      </c>
    </row>
    <row r="100" ht="15" customHeight="1" s="15">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9">
        <f>IF(A100="","",IF(COUNTIF($A$5:$A$154,A100)&gt;1,"DUPLICATE","UNIQUE"))</f>
        <v/>
      </c>
      <c r="W100" s="29">
        <f>IF(A100="","",IF(T100="Rejected","REJECTED",IF(T100&lt;&gt;"Ready","PENDING APPROVAL",IF(AND(B100&lt;&gt;"",C100&lt;&gt;"",D100&lt;&gt;"",E100&lt;&gt;"",F100&lt;&gt;"",G100&lt;&gt;"",H100&lt;&gt;"",I100&lt;&gt;"",J100&lt;&gt;"",M100&lt;&gt;"",O100&lt;&gt;"",T100&lt;&gt;""),"COMPLETE","MISSING FIELDS"))))</f>
      </c>
    </row>
    <row r="101" ht="15" customHeight="1" s="15">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9">
        <f>IF(A101="","",IF(COUNTIF($A$5:$A$154,A101)&gt;1,"DUPLICATE","UNIQUE"))</f>
        <v/>
      </c>
      <c r="W101" s="29">
        <f>IF(A101="","",IF(T101="Rejected","REJECTED",IF(T101&lt;&gt;"Ready","PENDING APPROVAL",IF(AND(B101&lt;&gt;"",C101&lt;&gt;"",D101&lt;&gt;"",E101&lt;&gt;"",F101&lt;&gt;"",G101&lt;&gt;"",H101&lt;&gt;"",I101&lt;&gt;"",J101&lt;&gt;"",M101&lt;&gt;"",O101&lt;&gt;"",T101&lt;&gt;""),"COMPLETE","MISSING FIELDS"))))</f>
      </c>
    </row>
    <row r="102" ht="15" customHeight="1" s="15">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9">
        <f>IF(A102="","",IF(COUNTIF($A$5:$A$154,A102)&gt;1,"DUPLICATE","UNIQUE"))</f>
        <v/>
      </c>
      <c r="W102" s="29">
        <f>IF(A102="","",IF(T102="Rejected","REJECTED",IF(T102&lt;&gt;"Ready","PENDING APPROVAL",IF(AND(B102&lt;&gt;"",C102&lt;&gt;"",D102&lt;&gt;"",E102&lt;&gt;"",F102&lt;&gt;"",G102&lt;&gt;"",H102&lt;&gt;"",I102&lt;&gt;"",J102&lt;&gt;"",M102&lt;&gt;"",O102&lt;&gt;"",T102&lt;&gt;""),"COMPLETE","MISSING FIELDS"))))</f>
      </c>
    </row>
    <row r="103" ht="15" customHeight="1" s="15">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9">
        <f>IF(A103="","",IF(COUNTIF($A$5:$A$154,A103)&gt;1,"DUPLICATE","UNIQUE"))</f>
        <v/>
      </c>
      <c r="W103" s="29">
        <f>IF(A103="","",IF(T103="Rejected","REJECTED",IF(T103&lt;&gt;"Ready","PENDING APPROVAL",IF(AND(B103&lt;&gt;"",C103&lt;&gt;"",D103&lt;&gt;"",E103&lt;&gt;"",F103&lt;&gt;"",G103&lt;&gt;"",H103&lt;&gt;"",I103&lt;&gt;"",J103&lt;&gt;"",M103&lt;&gt;"",O103&lt;&gt;"",T103&lt;&gt;""),"COMPLETE","MISSING FIELDS"))))</f>
      </c>
    </row>
    <row r="104" ht="15" customHeight="1" s="15">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9">
        <f>IF(A104="","",IF(COUNTIF($A$5:$A$154,A104)&gt;1,"DUPLICATE","UNIQUE"))</f>
        <v/>
      </c>
      <c r="W104" s="29">
        <f>IF(A104="","",IF(T104="Rejected","REJECTED",IF(T104&lt;&gt;"Ready","PENDING APPROVAL",IF(AND(B104&lt;&gt;"",C104&lt;&gt;"",D104&lt;&gt;"",E104&lt;&gt;"",F104&lt;&gt;"",G104&lt;&gt;"",H104&lt;&gt;"",I104&lt;&gt;"",J104&lt;&gt;"",M104&lt;&gt;"",O104&lt;&gt;"",T104&lt;&gt;""),"COMPLETE","MISSING FIELDS"))))</f>
      </c>
    </row>
    <row r="105" ht="15" customHeight="1" s="15">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9">
        <f>IF(A105="","",IF(COUNTIF($A$5:$A$154,A105)&gt;1,"DUPLICATE","UNIQUE"))</f>
        <v/>
      </c>
      <c r="W105" s="29">
        <f>IF(A105="","",IF(T105="Rejected","REJECTED",IF(T105&lt;&gt;"Ready","PENDING APPROVAL",IF(AND(B105&lt;&gt;"",C105&lt;&gt;"",D105&lt;&gt;"",E105&lt;&gt;"",F105&lt;&gt;"",G105&lt;&gt;"",H105&lt;&gt;"",I105&lt;&gt;"",J105&lt;&gt;"",M105&lt;&gt;"",O105&lt;&gt;"",T105&lt;&gt;""),"COMPLETE","MISSING FIELDS"))))</f>
      </c>
    </row>
    <row r="106" ht="15" customHeight="1" s="15">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9">
        <f>IF(A106="","",IF(COUNTIF($A$5:$A$154,A106)&gt;1,"DUPLICATE","UNIQUE"))</f>
        <v/>
      </c>
      <c r="W106" s="29">
        <f>IF(A106="","",IF(T106="Rejected","REJECTED",IF(T106&lt;&gt;"Ready","PENDING APPROVAL",IF(AND(B106&lt;&gt;"",C106&lt;&gt;"",D106&lt;&gt;"",E106&lt;&gt;"",F106&lt;&gt;"",G106&lt;&gt;"",H106&lt;&gt;"",I106&lt;&gt;"",J106&lt;&gt;"",M106&lt;&gt;"",O106&lt;&gt;"",T106&lt;&gt;""),"COMPLETE","MISSING FIELDS"))))</f>
      </c>
    </row>
    <row r="107" ht="15" customHeight="1" s="15">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9">
        <f>IF(A107="","",IF(COUNTIF($A$5:$A$154,A107)&gt;1,"DUPLICATE","UNIQUE"))</f>
        <v/>
      </c>
      <c r="W107" s="29">
        <f>IF(A107="","",IF(T107="Rejected","REJECTED",IF(T107&lt;&gt;"Ready","PENDING APPROVAL",IF(AND(B107&lt;&gt;"",C107&lt;&gt;"",D107&lt;&gt;"",E107&lt;&gt;"",F107&lt;&gt;"",G107&lt;&gt;"",H107&lt;&gt;"",I107&lt;&gt;"",J107&lt;&gt;"",M107&lt;&gt;"",O107&lt;&gt;"",T107&lt;&gt;""),"COMPLETE","MISSING FIELDS"))))</f>
      </c>
    </row>
    <row r="108" ht="15" customHeight="1" s="15">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9">
        <f>IF(A108="","",IF(COUNTIF($A$5:$A$154,A108)&gt;1,"DUPLICATE","UNIQUE"))</f>
        <v/>
      </c>
      <c r="W108" s="29">
        <f>IF(A108="","",IF(T108="Rejected","REJECTED",IF(T108&lt;&gt;"Ready","PENDING APPROVAL",IF(AND(B108&lt;&gt;"",C108&lt;&gt;"",D108&lt;&gt;"",E108&lt;&gt;"",F108&lt;&gt;"",G108&lt;&gt;"",H108&lt;&gt;"",I108&lt;&gt;"",J108&lt;&gt;"",M108&lt;&gt;"",O108&lt;&gt;"",T108&lt;&gt;""),"COMPLETE","MISSING FIELDS"))))</f>
      </c>
    </row>
    <row r="109" ht="15" customHeight="1" s="15">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9">
        <f>IF(A109="","",IF(COUNTIF($A$5:$A$154,A109)&gt;1,"DUPLICATE","UNIQUE"))</f>
        <v/>
      </c>
      <c r="W109" s="29">
        <f>IF(A109="","",IF(T109="Rejected","REJECTED",IF(T109&lt;&gt;"Ready","PENDING APPROVAL",IF(AND(B109&lt;&gt;"",C109&lt;&gt;"",D109&lt;&gt;"",E109&lt;&gt;"",F109&lt;&gt;"",G109&lt;&gt;"",H109&lt;&gt;"",I109&lt;&gt;"",J109&lt;&gt;"",M109&lt;&gt;"",O109&lt;&gt;"",T109&lt;&gt;""),"COMPLETE","MISSING FIELDS"))))</f>
      </c>
    </row>
    <row r="110" ht="15" customHeight="1" s="15">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9">
        <f>IF(A110="","",IF(COUNTIF($A$5:$A$154,A110)&gt;1,"DUPLICATE","UNIQUE"))</f>
        <v/>
      </c>
      <c r="W110" s="29">
        <f>IF(A110="","",IF(T110="Rejected","REJECTED",IF(T110&lt;&gt;"Ready","PENDING APPROVAL",IF(AND(B110&lt;&gt;"",C110&lt;&gt;"",D110&lt;&gt;"",E110&lt;&gt;"",F110&lt;&gt;"",G110&lt;&gt;"",H110&lt;&gt;"",I110&lt;&gt;"",J110&lt;&gt;"",M110&lt;&gt;"",O110&lt;&gt;"",T110&lt;&gt;""),"COMPLETE","MISSING FIELDS"))))</f>
      </c>
    </row>
    <row r="111" ht="15" customHeight="1" s="15">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9">
        <f>IF(A111="","",IF(COUNTIF($A$5:$A$154,A111)&gt;1,"DUPLICATE","UNIQUE"))</f>
        <v/>
      </c>
      <c r="W111" s="29">
        <f>IF(A111="","",IF(T111="Rejected","REJECTED",IF(T111&lt;&gt;"Ready","PENDING APPROVAL",IF(AND(B111&lt;&gt;"",C111&lt;&gt;"",D111&lt;&gt;"",E111&lt;&gt;"",F111&lt;&gt;"",G111&lt;&gt;"",H111&lt;&gt;"",I111&lt;&gt;"",J111&lt;&gt;"",M111&lt;&gt;"",O111&lt;&gt;"",T111&lt;&gt;""),"COMPLETE","MISSING FIELDS"))))</f>
      </c>
    </row>
    <row r="112" ht="15" customHeight="1" s="15">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9">
        <f>IF(A112="","",IF(COUNTIF($A$5:$A$154,A112)&gt;1,"DUPLICATE","UNIQUE"))</f>
        <v/>
      </c>
      <c r="W112" s="29">
        <f>IF(A112="","",IF(T112="Rejected","REJECTED",IF(T112&lt;&gt;"Ready","PENDING APPROVAL",IF(AND(B112&lt;&gt;"",C112&lt;&gt;"",D112&lt;&gt;"",E112&lt;&gt;"",F112&lt;&gt;"",G112&lt;&gt;"",H112&lt;&gt;"",I112&lt;&gt;"",J112&lt;&gt;"",M112&lt;&gt;"",O112&lt;&gt;"",T112&lt;&gt;""),"COMPLETE","MISSING FIELDS"))))</f>
      </c>
    </row>
    <row r="113" ht="15" customHeight="1" s="15">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9">
        <f>IF(A113="","",IF(COUNTIF($A$5:$A$154,A113)&gt;1,"DUPLICATE","UNIQUE"))</f>
        <v/>
      </c>
      <c r="W113" s="29">
        <f>IF(A113="","",IF(T113="Rejected","REJECTED",IF(T113&lt;&gt;"Ready","PENDING APPROVAL",IF(AND(B113&lt;&gt;"",C113&lt;&gt;"",D113&lt;&gt;"",E113&lt;&gt;"",F113&lt;&gt;"",G113&lt;&gt;"",H113&lt;&gt;"",I113&lt;&gt;"",J113&lt;&gt;"",M113&lt;&gt;"",O113&lt;&gt;"",T113&lt;&gt;""),"COMPLETE","MISSING FIELDS"))))</f>
      </c>
    </row>
    <row r="114" ht="15" customHeight="1" s="15">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9">
        <f>IF(A114="","",IF(COUNTIF($A$5:$A$154,A114)&gt;1,"DUPLICATE","UNIQUE"))</f>
        <v/>
      </c>
      <c r="W114" s="29">
        <f>IF(A114="","",IF(T114="Rejected","REJECTED",IF(T114&lt;&gt;"Ready","PENDING APPROVAL",IF(AND(B114&lt;&gt;"",C114&lt;&gt;"",D114&lt;&gt;"",E114&lt;&gt;"",F114&lt;&gt;"",G114&lt;&gt;"",H114&lt;&gt;"",I114&lt;&gt;"",J114&lt;&gt;"",M114&lt;&gt;"",O114&lt;&gt;"",T114&lt;&gt;""),"COMPLETE","MISSING FIELDS"))))</f>
      </c>
    </row>
    <row r="115" ht="15" customHeight="1" s="15">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9">
        <f>IF(A115="","",IF(COUNTIF($A$5:$A$154,A115)&gt;1,"DUPLICATE","UNIQUE"))</f>
        <v/>
      </c>
      <c r="W115" s="29">
        <f>IF(A115="","",IF(T115="Rejected","REJECTED",IF(T115&lt;&gt;"Ready","PENDING APPROVAL",IF(AND(B115&lt;&gt;"",C115&lt;&gt;"",D115&lt;&gt;"",E115&lt;&gt;"",F115&lt;&gt;"",G115&lt;&gt;"",H115&lt;&gt;"",I115&lt;&gt;"",J115&lt;&gt;"",M115&lt;&gt;"",O115&lt;&gt;"",T115&lt;&gt;""),"COMPLETE","MISSING FIELDS"))))</f>
      </c>
    </row>
    <row r="116" ht="15" customHeight="1" s="15">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9">
        <f>IF(A116="","",IF(COUNTIF($A$5:$A$154,A116)&gt;1,"DUPLICATE","UNIQUE"))</f>
        <v/>
      </c>
      <c r="W116" s="29">
        <f>IF(A116="","",IF(T116="Rejected","REJECTED",IF(T116&lt;&gt;"Ready","PENDING APPROVAL",IF(AND(B116&lt;&gt;"",C116&lt;&gt;"",D116&lt;&gt;"",E116&lt;&gt;"",F116&lt;&gt;"",G116&lt;&gt;"",H116&lt;&gt;"",I116&lt;&gt;"",J116&lt;&gt;"",M116&lt;&gt;"",O116&lt;&gt;"",T116&lt;&gt;""),"COMPLETE","MISSING FIELDS"))))</f>
      </c>
    </row>
    <row r="117" ht="15" customHeight="1" s="15">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9">
        <f>IF(A117="","",IF(COUNTIF($A$5:$A$154,A117)&gt;1,"DUPLICATE","UNIQUE"))</f>
        <v/>
      </c>
      <c r="W117" s="29">
        <f>IF(A117="","",IF(T117="Rejected","REJECTED",IF(T117&lt;&gt;"Ready","PENDING APPROVAL",IF(AND(B117&lt;&gt;"",C117&lt;&gt;"",D117&lt;&gt;"",E117&lt;&gt;"",F117&lt;&gt;"",G117&lt;&gt;"",H117&lt;&gt;"",I117&lt;&gt;"",J117&lt;&gt;"",M117&lt;&gt;"",O117&lt;&gt;"",T117&lt;&gt;""),"COMPLETE","MISSING FIELDS"))))</f>
      </c>
    </row>
    <row r="118" ht="15" customHeight="1" s="15">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9">
        <f>IF(A118="","",IF(COUNTIF($A$5:$A$154,A118)&gt;1,"DUPLICATE","UNIQUE"))</f>
        <v/>
      </c>
      <c r="W118" s="29">
        <f>IF(A118="","",IF(T118="Rejected","REJECTED",IF(T118&lt;&gt;"Ready","PENDING APPROVAL",IF(AND(B118&lt;&gt;"",C118&lt;&gt;"",D118&lt;&gt;"",E118&lt;&gt;"",F118&lt;&gt;"",G118&lt;&gt;"",H118&lt;&gt;"",I118&lt;&gt;"",J118&lt;&gt;"",M118&lt;&gt;"",O118&lt;&gt;"",T118&lt;&gt;""),"COMPLETE","MISSING FIELDS"))))</f>
      </c>
    </row>
    <row r="119" ht="15" customHeight="1" s="15">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9">
        <f>IF(A119="","",IF(COUNTIF($A$5:$A$154,A119)&gt;1,"DUPLICATE","UNIQUE"))</f>
        <v/>
      </c>
      <c r="W119" s="29">
        <f>IF(A119="","",IF(T119="Rejected","REJECTED",IF(T119&lt;&gt;"Ready","PENDING APPROVAL",IF(AND(B119&lt;&gt;"",C119&lt;&gt;"",D119&lt;&gt;"",E119&lt;&gt;"",F119&lt;&gt;"",G119&lt;&gt;"",H119&lt;&gt;"",I119&lt;&gt;"",J119&lt;&gt;"",M119&lt;&gt;"",O119&lt;&gt;"",T119&lt;&gt;""),"COMPLETE","MISSING FIELDS"))))</f>
      </c>
    </row>
    <row r="120" ht="15" customHeight="1" s="15">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9">
        <f>IF(A120="","",IF(COUNTIF($A$5:$A$154,A120)&gt;1,"DUPLICATE","UNIQUE"))</f>
        <v/>
      </c>
      <c r="W120" s="29">
        <f>IF(A120="","",IF(T120="Rejected","REJECTED",IF(T120&lt;&gt;"Ready","PENDING APPROVAL",IF(AND(B120&lt;&gt;"",C120&lt;&gt;"",D120&lt;&gt;"",E120&lt;&gt;"",F120&lt;&gt;"",G120&lt;&gt;"",H120&lt;&gt;"",I120&lt;&gt;"",J120&lt;&gt;"",M120&lt;&gt;"",O120&lt;&gt;"",T120&lt;&gt;""),"COMPLETE","MISSING FIELDS"))))</f>
      </c>
    </row>
    <row r="121" ht="15" customHeight="1" s="15">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9">
        <f>IF(A121="","",IF(COUNTIF($A$5:$A$154,A121)&gt;1,"DUPLICATE","UNIQUE"))</f>
        <v/>
      </c>
      <c r="W121" s="29">
        <f>IF(A121="","",IF(T121="Rejected","REJECTED",IF(T121&lt;&gt;"Ready","PENDING APPROVAL",IF(AND(B121&lt;&gt;"",C121&lt;&gt;"",D121&lt;&gt;"",E121&lt;&gt;"",F121&lt;&gt;"",G121&lt;&gt;"",H121&lt;&gt;"",I121&lt;&gt;"",J121&lt;&gt;"",M121&lt;&gt;"",O121&lt;&gt;"",T121&lt;&gt;""),"COMPLETE","MISSING FIELDS"))))</f>
      </c>
    </row>
    <row r="122" ht="15" customHeight="1" s="15">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9">
        <f>IF(A122="","",IF(COUNTIF($A$5:$A$154,A122)&gt;1,"DUPLICATE","UNIQUE"))</f>
        <v/>
      </c>
      <c r="W122" s="29">
        <f>IF(A122="","",IF(T122="Rejected","REJECTED",IF(T122&lt;&gt;"Ready","PENDING APPROVAL",IF(AND(B122&lt;&gt;"",C122&lt;&gt;"",D122&lt;&gt;"",E122&lt;&gt;"",F122&lt;&gt;"",G122&lt;&gt;"",H122&lt;&gt;"",I122&lt;&gt;"",J122&lt;&gt;"",M122&lt;&gt;"",O122&lt;&gt;"",T122&lt;&gt;""),"COMPLETE","MISSING FIELDS"))))</f>
      </c>
    </row>
    <row r="123" ht="15" customHeight="1" s="15">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9">
        <f>IF(A123="","",IF(COUNTIF($A$5:$A$154,A123)&gt;1,"DUPLICATE","UNIQUE"))</f>
        <v/>
      </c>
      <c r="W123" s="29">
        <f>IF(A123="","",IF(T123="Rejected","REJECTED",IF(T123&lt;&gt;"Ready","PENDING APPROVAL",IF(AND(B123&lt;&gt;"",C123&lt;&gt;"",D123&lt;&gt;"",E123&lt;&gt;"",F123&lt;&gt;"",G123&lt;&gt;"",H123&lt;&gt;"",I123&lt;&gt;"",J123&lt;&gt;"",M123&lt;&gt;"",O123&lt;&gt;"",T123&lt;&gt;""),"COMPLETE","MISSING FIELDS"))))</f>
      </c>
    </row>
    <row r="124" ht="15" customHeight="1" s="15">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9">
        <f>IF(A124="","",IF(COUNTIF($A$5:$A$154,A124)&gt;1,"DUPLICATE","UNIQUE"))</f>
        <v/>
      </c>
      <c r="W124" s="29">
        <f>IF(A124="","",IF(T124="Rejected","REJECTED",IF(T124&lt;&gt;"Ready","PENDING APPROVAL",IF(AND(B124&lt;&gt;"",C124&lt;&gt;"",D124&lt;&gt;"",E124&lt;&gt;"",F124&lt;&gt;"",G124&lt;&gt;"",H124&lt;&gt;"",I124&lt;&gt;"",J124&lt;&gt;"",M124&lt;&gt;"",O124&lt;&gt;"",T124&lt;&gt;""),"COMPLETE","MISSING FIELDS"))))</f>
      </c>
    </row>
    <row r="125" ht="15" customHeight="1" s="15">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9">
        <f>IF(A125="","",IF(COUNTIF($A$5:$A$154,A125)&gt;1,"DUPLICATE","UNIQUE"))</f>
        <v/>
      </c>
      <c r="W125" s="29">
        <f>IF(A125="","",IF(T125="Rejected","REJECTED",IF(T125&lt;&gt;"Ready","PENDING APPROVAL",IF(AND(B125&lt;&gt;"",C125&lt;&gt;"",D125&lt;&gt;"",E125&lt;&gt;"",F125&lt;&gt;"",G125&lt;&gt;"",H125&lt;&gt;"",I125&lt;&gt;"",J125&lt;&gt;"",M125&lt;&gt;"",O125&lt;&gt;"",T125&lt;&gt;""),"COMPLETE","MISSING FIELDS"))))</f>
      </c>
    </row>
    <row r="126" ht="15" customHeight="1" s="15">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9">
        <f>IF(A126="","",IF(COUNTIF($A$5:$A$154,A126)&gt;1,"DUPLICATE","UNIQUE"))</f>
        <v/>
      </c>
      <c r="W126" s="29">
        <f>IF(A126="","",IF(T126="Rejected","REJECTED",IF(T126&lt;&gt;"Ready","PENDING APPROVAL",IF(AND(B126&lt;&gt;"",C126&lt;&gt;"",D126&lt;&gt;"",E126&lt;&gt;"",F126&lt;&gt;"",G126&lt;&gt;"",H126&lt;&gt;"",I126&lt;&gt;"",J126&lt;&gt;"",M126&lt;&gt;"",O126&lt;&gt;"",T126&lt;&gt;""),"COMPLETE","MISSING FIELDS"))))</f>
      </c>
    </row>
    <row r="127" ht="15" customHeight="1" s="15">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9">
        <f>IF(A127="","",IF(COUNTIF($A$5:$A$154,A127)&gt;1,"DUPLICATE","UNIQUE"))</f>
        <v/>
      </c>
      <c r="W127" s="29">
        <f>IF(A127="","",IF(T127="Rejected","REJECTED",IF(T127&lt;&gt;"Ready","PENDING APPROVAL",IF(AND(B127&lt;&gt;"",C127&lt;&gt;"",D127&lt;&gt;"",E127&lt;&gt;"",F127&lt;&gt;"",G127&lt;&gt;"",H127&lt;&gt;"",I127&lt;&gt;"",J127&lt;&gt;"",M127&lt;&gt;"",O127&lt;&gt;"",T127&lt;&gt;""),"COMPLETE","MISSING FIELDS"))))</f>
      </c>
    </row>
    <row r="128" ht="15" customHeight="1" s="15">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9">
        <f>IF(A128="","",IF(COUNTIF($A$5:$A$154,A128)&gt;1,"DUPLICATE","UNIQUE"))</f>
        <v/>
      </c>
      <c r="W128" s="29">
        <f>IF(A128="","",IF(T128="Rejected","REJECTED",IF(T128&lt;&gt;"Ready","PENDING APPROVAL",IF(AND(B128&lt;&gt;"",C128&lt;&gt;"",D128&lt;&gt;"",E128&lt;&gt;"",F128&lt;&gt;"",G128&lt;&gt;"",H128&lt;&gt;"",I128&lt;&gt;"",J128&lt;&gt;"",M128&lt;&gt;"",O128&lt;&gt;"",T128&lt;&gt;""),"COMPLETE","MISSING FIELDS"))))</f>
      </c>
    </row>
    <row r="129" ht="15" customHeight="1" s="15">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9">
        <f>IF(A129="","",IF(COUNTIF($A$5:$A$154,A129)&gt;1,"DUPLICATE","UNIQUE"))</f>
        <v/>
      </c>
      <c r="W129" s="29">
        <f>IF(A129="","",IF(T129="Rejected","REJECTED",IF(T129&lt;&gt;"Ready","PENDING APPROVAL",IF(AND(B129&lt;&gt;"",C129&lt;&gt;"",D129&lt;&gt;"",E129&lt;&gt;"",F129&lt;&gt;"",G129&lt;&gt;"",H129&lt;&gt;"",I129&lt;&gt;"",J129&lt;&gt;"",M129&lt;&gt;"",O129&lt;&gt;"",T129&lt;&gt;""),"COMPLETE","MISSING FIELDS"))))</f>
      </c>
    </row>
    <row r="130" ht="15" customHeight="1" s="15">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9">
        <f>IF(A130="","",IF(COUNTIF($A$5:$A$154,A130)&gt;1,"DUPLICATE","UNIQUE"))</f>
        <v/>
      </c>
      <c r="W130" s="29">
        <f>IF(A130="","",IF(T130="Rejected","REJECTED",IF(T130&lt;&gt;"Ready","PENDING APPROVAL",IF(AND(B130&lt;&gt;"",C130&lt;&gt;"",D130&lt;&gt;"",E130&lt;&gt;"",F130&lt;&gt;"",G130&lt;&gt;"",H130&lt;&gt;"",I130&lt;&gt;"",J130&lt;&gt;"",M130&lt;&gt;"",O130&lt;&gt;"",T130&lt;&gt;""),"COMPLETE","MISSING FIELDS"))))</f>
      </c>
    </row>
    <row r="131" ht="15" customHeight="1" s="15">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9">
        <f>IF(A131="","",IF(COUNTIF($A$5:$A$154,A131)&gt;1,"DUPLICATE","UNIQUE"))</f>
        <v/>
      </c>
      <c r="W131" s="29">
        <f>IF(A131="","",IF(T131="Rejected","REJECTED",IF(T131&lt;&gt;"Ready","PENDING APPROVAL",IF(AND(B131&lt;&gt;"",C131&lt;&gt;"",D131&lt;&gt;"",E131&lt;&gt;"",F131&lt;&gt;"",G131&lt;&gt;"",H131&lt;&gt;"",I131&lt;&gt;"",J131&lt;&gt;"",M131&lt;&gt;"",O131&lt;&gt;"",T131&lt;&gt;""),"COMPLETE","MISSING FIELDS"))))</f>
      </c>
    </row>
    <row r="132" ht="15" customHeight="1" s="15">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9">
        <f>IF(A132="","",IF(COUNTIF($A$5:$A$154,A132)&gt;1,"DUPLICATE","UNIQUE"))</f>
        <v/>
      </c>
      <c r="W132" s="29">
        <f>IF(A132="","",IF(T132="Rejected","REJECTED",IF(T132&lt;&gt;"Ready","PENDING APPROVAL",IF(AND(B132&lt;&gt;"",C132&lt;&gt;"",D132&lt;&gt;"",E132&lt;&gt;"",F132&lt;&gt;"",G132&lt;&gt;"",H132&lt;&gt;"",I132&lt;&gt;"",J132&lt;&gt;"",M132&lt;&gt;"",O132&lt;&gt;"",T132&lt;&gt;""),"COMPLETE","MISSING FIELDS"))))</f>
      </c>
    </row>
    <row r="133" ht="15" customHeight="1" s="15">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9">
        <f>IF(A133="","",IF(COUNTIF($A$5:$A$154,A133)&gt;1,"DUPLICATE","UNIQUE"))</f>
        <v/>
      </c>
      <c r="W133" s="29">
        <f>IF(A133="","",IF(T133="Rejected","REJECTED",IF(T133&lt;&gt;"Ready","PENDING APPROVAL",IF(AND(B133&lt;&gt;"",C133&lt;&gt;"",D133&lt;&gt;"",E133&lt;&gt;"",F133&lt;&gt;"",G133&lt;&gt;"",H133&lt;&gt;"",I133&lt;&gt;"",J133&lt;&gt;"",M133&lt;&gt;"",O133&lt;&gt;"",T133&lt;&gt;""),"COMPLETE","MISSING FIELDS"))))</f>
      </c>
    </row>
    <row r="134" ht="15" customHeight="1" s="15">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9">
        <f>IF(A134="","",IF(COUNTIF($A$5:$A$154,A134)&gt;1,"DUPLICATE","UNIQUE"))</f>
        <v/>
      </c>
      <c r="W134" s="29">
        <f>IF(A134="","",IF(T134="Rejected","REJECTED",IF(T134&lt;&gt;"Ready","PENDING APPROVAL",IF(AND(B134&lt;&gt;"",C134&lt;&gt;"",D134&lt;&gt;"",E134&lt;&gt;"",F134&lt;&gt;"",G134&lt;&gt;"",H134&lt;&gt;"",I134&lt;&gt;"",J134&lt;&gt;"",M134&lt;&gt;"",O134&lt;&gt;"",T134&lt;&gt;""),"COMPLETE","MISSING FIELDS"))))</f>
      </c>
    </row>
    <row r="135" ht="15" customHeight="1" s="15">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9">
        <f>IF(A135="","",IF(COUNTIF($A$5:$A$154,A135)&gt;1,"DUPLICATE","UNIQUE"))</f>
        <v/>
      </c>
      <c r="W135" s="29">
        <f>IF(A135="","",IF(T135="Rejected","REJECTED",IF(T135&lt;&gt;"Ready","PENDING APPROVAL",IF(AND(B135&lt;&gt;"",C135&lt;&gt;"",D135&lt;&gt;"",E135&lt;&gt;"",F135&lt;&gt;"",G135&lt;&gt;"",H135&lt;&gt;"",I135&lt;&gt;"",J135&lt;&gt;"",M135&lt;&gt;"",O135&lt;&gt;"",T135&lt;&gt;""),"COMPLETE","MISSING FIELDS"))))</f>
      </c>
    </row>
    <row r="136" ht="15" customHeight="1" s="15">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9">
        <f>IF(A136="","",IF(COUNTIF($A$5:$A$154,A136)&gt;1,"DUPLICATE","UNIQUE"))</f>
        <v/>
      </c>
      <c r="W136" s="29">
        <f>IF(A136="","",IF(T136="Rejected","REJECTED",IF(T136&lt;&gt;"Ready","PENDING APPROVAL",IF(AND(B136&lt;&gt;"",C136&lt;&gt;"",D136&lt;&gt;"",E136&lt;&gt;"",F136&lt;&gt;"",G136&lt;&gt;"",H136&lt;&gt;"",I136&lt;&gt;"",J136&lt;&gt;"",M136&lt;&gt;"",O136&lt;&gt;"",T136&lt;&gt;""),"COMPLETE","MISSING FIELDS"))))</f>
      </c>
    </row>
    <row r="137" ht="15" customHeight="1" s="15">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9">
        <f>IF(A137="","",IF(COUNTIF($A$5:$A$154,A137)&gt;1,"DUPLICATE","UNIQUE"))</f>
        <v/>
      </c>
      <c r="W137" s="29">
        <f>IF(A137="","",IF(T137="Rejected","REJECTED",IF(T137&lt;&gt;"Ready","PENDING APPROVAL",IF(AND(B137&lt;&gt;"",C137&lt;&gt;"",D137&lt;&gt;"",E137&lt;&gt;"",F137&lt;&gt;"",G137&lt;&gt;"",H137&lt;&gt;"",I137&lt;&gt;"",J137&lt;&gt;"",M137&lt;&gt;"",O137&lt;&gt;"",T137&lt;&gt;""),"COMPLETE","MISSING FIELDS"))))</f>
      </c>
    </row>
    <row r="138" ht="15" customHeight="1" s="15">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9">
        <f>IF(A138="","",IF(COUNTIF($A$5:$A$154,A138)&gt;1,"DUPLICATE","UNIQUE"))</f>
        <v/>
      </c>
      <c r="W138" s="29">
        <f>IF(A138="","",IF(T138="Rejected","REJECTED",IF(T138&lt;&gt;"Ready","PENDING APPROVAL",IF(AND(B138&lt;&gt;"",C138&lt;&gt;"",D138&lt;&gt;"",E138&lt;&gt;"",F138&lt;&gt;"",G138&lt;&gt;"",H138&lt;&gt;"",I138&lt;&gt;"",J138&lt;&gt;"",M138&lt;&gt;"",O138&lt;&gt;"",T138&lt;&gt;""),"COMPLETE","MISSING FIELDS"))))</f>
      </c>
    </row>
    <row r="139" ht="15" customHeight="1" s="15">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9">
        <f>IF(A139="","",IF(COUNTIF($A$5:$A$154,A139)&gt;1,"DUPLICATE","UNIQUE"))</f>
        <v/>
      </c>
      <c r="W139" s="29">
        <f>IF(A139="","",IF(T139="Rejected","REJECTED",IF(T139&lt;&gt;"Ready","PENDING APPROVAL",IF(AND(B139&lt;&gt;"",C139&lt;&gt;"",D139&lt;&gt;"",E139&lt;&gt;"",F139&lt;&gt;"",G139&lt;&gt;"",H139&lt;&gt;"",I139&lt;&gt;"",J139&lt;&gt;"",M139&lt;&gt;"",O139&lt;&gt;"",T139&lt;&gt;""),"COMPLETE","MISSING FIELDS"))))</f>
      </c>
    </row>
    <row r="140" ht="15" customHeight="1" s="15">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9">
        <f>IF(A140="","",IF(COUNTIF($A$5:$A$154,A140)&gt;1,"DUPLICATE","UNIQUE"))</f>
        <v/>
      </c>
      <c r="W140" s="29">
        <f>IF(A140="","",IF(T140="Rejected","REJECTED",IF(T140&lt;&gt;"Ready","PENDING APPROVAL",IF(AND(B140&lt;&gt;"",C140&lt;&gt;"",D140&lt;&gt;"",E140&lt;&gt;"",F140&lt;&gt;"",G140&lt;&gt;"",H140&lt;&gt;"",I140&lt;&gt;"",J140&lt;&gt;"",M140&lt;&gt;"",O140&lt;&gt;"",T140&lt;&gt;""),"COMPLETE","MISSING FIELDS"))))</f>
      </c>
    </row>
    <row r="141" ht="15" customHeight="1" s="15">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9">
        <f>IF(A141="","",IF(COUNTIF($A$5:$A$154,A141)&gt;1,"DUPLICATE","UNIQUE"))</f>
        <v/>
      </c>
      <c r="W141" s="29">
        <f>IF(A141="","",IF(T141="Rejected","REJECTED",IF(T141&lt;&gt;"Ready","PENDING APPROVAL",IF(AND(B141&lt;&gt;"",C141&lt;&gt;"",D141&lt;&gt;"",E141&lt;&gt;"",F141&lt;&gt;"",G141&lt;&gt;"",H141&lt;&gt;"",I141&lt;&gt;"",J141&lt;&gt;"",M141&lt;&gt;"",O141&lt;&gt;"",T141&lt;&gt;""),"COMPLETE","MISSING FIELDS"))))</f>
      </c>
    </row>
    <row r="142" ht="15" customHeight="1" s="15">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9">
        <f>IF(A142="","",IF(COUNTIF($A$5:$A$154,A142)&gt;1,"DUPLICATE","UNIQUE"))</f>
        <v/>
      </c>
      <c r="W142" s="29">
        <f>IF(A142="","",IF(T142="Rejected","REJECTED",IF(T142&lt;&gt;"Ready","PENDING APPROVAL",IF(AND(B142&lt;&gt;"",C142&lt;&gt;"",D142&lt;&gt;"",E142&lt;&gt;"",F142&lt;&gt;"",G142&lt;&gt;"",H142&lt;&gt;"",I142&lt;&gt;"",J142&lt;&gt;"",M142&lt;&gt;"",O142&lt;&gt;"",T142&lt;&gt;""),"COMPLETE","MISSING FIELDS"))))</f>
      </c>
    </row>
    <row r="143" ht="15" customHeight="1" s="15">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9">
        <f>IF(A143="","",IF(COUNTIF($A$5:$A$154,A143)&gt;1,"DUPLICATE","UNIQUE"))</f>
        <v/>
      </c>
      <c r="W143" s="29">
        <f>IF(A143="","",IF(T143="Rejected","REJECTED",IF(T143&lt;&gt;"Ready","PENDING APPROVAL",IF(AND(B143&lt;&gt;"",C143&lt;&gt;"",D143&lt;&gt;"",E143&lt;&gt;"",F143&lt;&gt;"",G143&lt;&gt;"",H143&lt;&gt;"",I143&lt;&gt;"",J143&lt;&gt;"",M143&lt;&gt;"",O143&lt;&gt;"",T143&lt;&gt;""),"COMPLETE","MISSING FIELDS"))))</f>
      </c>
    </row>
    <row r="144" ht="15" customHeight="1" s="15">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9">
        <f>IF(A144="","",IF(COUNTIF($A$5:$A$154,A144)&gt;1,"DUPLICATE","UNIQUE"))</f>
        <v/>
      </c>
      <c r="W144" s="29">
        <f>IF(A144="","",IF(T144="Rejected","REJECTED",IF(T144&lt;&gt;"Ready","PENDING APPROVAL",IF(AND(B144&lt;&gt;"",C144&lt;&gt;"",D144&lt;&gt;"",E144&lt;&gt;"",F144&lt;&gt;"",G144&lt;&gt;"",H144&lt;&gt;"",I144&lt;&gt;"",J144&lt;&gt;"",M144&lt;&gt;"",O144&lt;&gt;"",T144&lt;&gt;""),"COMPLETE","MISSING FIELDS"))))</f>
      </c>
    </row>
    <row r="145" ht="15" customHeight="1" s="15">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9">
        <f>IF(A145="","",IF(COUNTIF($A$5:$A$154,A145)&gt;1,"DUPLICATE","UNIQUE"))</f>
        <v/>
      </c>
      <c r="W145" s="29">
        <f>IF(A145="","",IF(T145="Rejected","REJECTED",IF(T145&lt;&gt;"Ready","PENDING APPROVAL",IF(AND(B145&lt;&gt;"",C145&lt;&gt;"",D145&lt;&gt;"",E145&lt;&gt;"",F145&lt;&gt;"",G145&lt;&gt;"",H145&lt;&gt;"",I145&lt;&gt;"",J145&lt;&gt;"",M145&lt;&gt;"",O145&lt;&gt;"",T145&lt;&gt;""),"COMPLETE","MISSING FIELDS"))))</f>
      </c>
    </row>
    <row r="146" ht="15" customHeight="1" s="15">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9">
        <f>IF(A146="","",IF(COUNTIF($A$5:$A$154,A146)&gt;1,"DUPLICATE","UNIQUE"))</f>
        <v/>
      </c>
      <c r="W146" s="29">
        <f>IF(A146="","",IF(T146="Rejected","REJECTED",IF(T146&lt;&gt;"Ready","PENDING APPROVAL",IF(AND(B146&lt;&gt;"",C146&lt;&gt;"",D146&lt;&gt;"",E146&lt;&gt;"",F146&lt;&gt;"",G146&lt;&gt;"",H146&lt;&gt;"",I146&lt;&gt;"",J146&lt;&gt;"",M146&lt;&gt;"",O146&lt;&gt;"",T146&lt;&gt;""),"COMPLETE","MISSING FIELDS"))))</f>
      </c>
    </row>
    <row r="147" ht="15" customHeight="1" s="15">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9">
        <f>IF(A147="","",IF(COUNTIF($A$5:$A$154,A147)&gt;1,"DUPLICATE","UNIQUE"))</f>
        <v/>
      </c>
      <c r="W147" s="29">
        <f>IF(A147="","",IF(T147="Rejected","REJECTED",IF(T147&lt;&gt;"Ready","PENDING APPROVAL",IF(AND(B147&lt;&gt;"",C147&lt;&gt;"",D147&lt;&gt;"",E147&lt;&gt;"",F147&lt;&gt;"",G147&lt;&gt;"",H147&lt;&gt;"",I147&lt;&gt;"",J147&lt;&gt;"",M147&lt;&gt;"",O147&lt;&gt;"",T147&lt;&gt;""),"COMPLETE","MISSING FIELDS"))))</f>
      </c>
    </row>
    <row r="148" ht="15" customHeight="1" s="15">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9">
        <f>IF(A148="","",IF(COUNTIF($A$5:$A$154,A148)&gt;1,"DUPLICATE","UNIQUE"))</f>
        <v/>
      </c>
      <c r="W148" s="29">
        <f>IF(A148="","",IF(T148="Rejected","REJECTED",IF(T148&lt;&gt;"Ready","PENDING APPROVAL",IF(AND(B148&lt;&gt;"",C148&lt;&gt;"",D148&lt;&gt;"",E148&lt;&gt;"",F148&lt;&gt;"",G148&lt;&gt;"",H148&lt;&gt;"",I148&lt;&gt;"",J148&lt;&gt;"",M148&lt;&gt;"",O148&lt;&gt;"",T148&lt;&gt;""),"COMPLETE","MISSING FIELDS"))))</f>
      </c>
    </row>
    <row r="149" ht="15" customHeight="1" s="15">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9">
        <f>IF(A149="","",IF(COUNTIF($A$5:$A$154,A149)&gt;1,"DUPLICATE","UNIQUE"))</f>
        <v/>
      </c>
      <c r="W149" s="29">
        <f>IF(A149="","",IF(T149="Rejected","REJECTED",IF(T149&lt;&gt;"Ready","PENDING APPROVAL",IF(AND(B149&lt;&gt;"",C149&lt;&gt;"",D149&lt;&gt;"",E149&lt;&gt;"",F149&lt;&gt;"",G149&lt;&gt;"",H149&lt;&gt;"",I149&lt;&gt;"",J149&lt;&gt;"",M149&lt;&gt;"",O149&lt;&gt;"",T149&lt;&gt;""),"COMPLETE","MISSING FIELDS"))))</f>
      </c>
    </row>
    <row r="150" ht="15" customHeight="1" s="15">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9">
        <f>IF(A150="","",IF(COUNTIF($A$5:$A$154,A150)&gt;1,"DUPLICATE","UNIQUE"))</f>
        <v/>
      </c>
      <c r="W150" s="29">
        <f>IF(A150="","",IF(T150="Rejected","REJECTED",IF(T150&lt;&gt;"Ready","PENDING APPROVAL",IF(AND(B150&lt;&gt;"",C150&lt;&gt;"",D150&lt;&gt;"",E150&lt;&gt;"",F150&lt;&gt;"",G150&lt;&gt;"",H150&lt;&gt;"",I150&lt;&gt;"",J150&lt;&gt;"",M150&lt;&gt;"",O150&lt;&gt;"",T150&lt;&gt;""),"COMPLETE","MISSING FIELDS"))))</f>
      </c>
    </row>
    <row r="151" ht="15" customHeight="1" s="15">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9">
        <f>IF(A151="","",IF(COUNTIF($A$5:$A$154,A151)&gt;1,"DUPLICATE","UNIQUE"))</f>
        <v/>
      </c>
      <c r="W151" s="29">
        <f>IF(A151="","",IF(T151="Rejected","REJECTED",IF(T151&lt;&gt;"Ready","PENDING APPROVAL",IF(AND(B151&lt;&gt;"",C151&lt;&gt;"",D151&lt;&gt;"",E151&lt;&gt;"",F151&lt;&gt;"",G151&lt;&gt;"",H151&lt;&gt;"",I151&lt;&gt;"",J151&lt;&gt;"",M151&lt;&gt;"",O151&lt;&gt;"",T151&lt;&gt;""),"COMPLETE","MISSING FIELDS"))))</f>
      </c>
    </row>
    <row r="152" ht="15" customHeight="1" s="15">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9">
        <f>IF(A152="","",IF(COUNTIF($A$5:$A$154,A152)&gt;1,"DUPLICATE","UNIQUE"))</f>
        <v/>
      </c>
      <c r="W152" s="29">
        <f>IF(A152="","",IF(T152="Rejected","REJECTED",IF(T152&lt;&gt;"Ready","PENDING APPROVAL",IF(AND(B152&lt;&gt;"",C152&lt;&gt;"",D152&lt;&gt;"",E152&lt;&gt;"",F152&lt;&gt;"",G152&lt;&gt;"",H152&lt;&gt;"",I152&lt;&gt;"",J152&lt;&gt;"",M152&lt;&gt;"",O152&lt;&gt;"",T152&lt;&gt;""),"COMPLETE","MISSING FIELDS"))))</f>
      </c>
    </row>
    <row r="153" ht="15" customHeight="1" s="15">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9">
        <f>IF(A153="","",IF(COUNTIF($A$5:$A$154,A153)&gt;1,"DUPLICATE","UNIQUE"))</f>
        <v/>
      </c>
      <c r="W153" s="29">
        <f>IF(A153="","",IF(T153="Rejected","REJECTED",IF(T153&lt;&gt;"Ready","PENDING APPROVAL",IF(AND(B153&lt;&gt;"",C153&lt;&gt;"",D153&lt;&gt;"",E153&lt;&gt;"",F153&lt;&gt;"",G153&lt;&gt;"",H153&lt;&gt;"",I153&lt;&gt;"",J153&lt;&gt;"",M153&lt;&gt;"",O153&lt;&gt;"",T153&lt;&gt;""),"COMPLETE","MISSING FIELDS"))))</f>
      </c>
    </row>
    <row r="154" ht="15" customHeight="1" s="15">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9">
        <f>IF(A154="","",IF(COUNTIF($A$5:$A$154,A154)&gt;1,"DUPLICATE","UNIQUE"))</f>
        <v/>
      </c>
      <c r="W154" s="29">
        <f>IF(A154="","",IF(T154="Rejected","REJECTED",IF(T154&lt;&gt;"Ready","PENDING APPROVAL",IF(AND(B154&lt;&gt;"",C154&lt;&gt;"",D154&lt;&gt;"",E154&lt;&gt;"",F154&lt;&gt;"",G154&lt;&gt;"",H154&lt;&gt;"",I154&lt;&gt;"",J154&lt;&gt;"",M154&lt;&gt;"",O154&lt;&gt;"",T154&lt;&gt;""),"COMPLETE","MISSING FIELDS"))))</f>
      </c>
    </row>
  </sheetData>
  <mergeCells count="2">
    <mergeCell ref="A2:W2"/>
    <mergeCell ref="A1:W1"/>
  </mergeCells>
  <conditionalFormatting sqref="V5:W154">
    <cfRule type="expression" rank="0" priority="2" equalAverage="0" aboveAverage="0" dxfId="0" text="" percent="0" bottom="0">
      <formula>OR(V5="DUPLICATE",W5="MISSING FIELDS",W5="ADD REASON")</formula>
    </cfRule>
  </conditionalFormatting>
  <dataValidations count="5">
    <dataValidation sqref="B5:B154" showDropDown="0" showInputMessage="0" showErrorMessage="0" allowBlank="1" type="list" errorStyle="stop" operator="between">
      <formula1>"LinkedIn,Instagram,YouTube Shorts,TikTok,X,Threads,Facebook,Reddit"</formula1>
      <formula2>0</formula2>
    </dataValidation>
    <dataValidation sqref="C5:C154" showDropDown="0" showInputMessage="0" showErrorMessage="0" allowBlank="1" type="list" errorStyle="stop" operator="between">
      <formula1>"Short video,Carousel,Graphic,Text post,Thread,Long video"</formula1>
      <formula2>0</formula2>
    </dataValidation>
    <dataValidation sqref="M5:M154" showDropDown="0" showInputMessage="0" showErrorMessage="0" allowBlank="1" type="list" errorStyle="stop" operator="between">
      <formula1>"Yes,No"</formula1>
      <formula2>0</formula2>
    </dataValidation>
    <dataValidation sqref="N5:N154" showDropDown="0" showInputMessage="0" showErrorMessage="0" allowBlank="1" type="list" errorStyle="stop" operator="between">
      <formula1>"Yes,No"</formula1>
      <formula2>0</formula2>
    </dataValidation>
    <dataValidation sqref="T5:T154" showDropDown="0" showInputMessage="0" showErrorMessage="0" allowBlank="1" type="list" errorStyle="stop" operator="between">
      <formula1>"Ready,Draft"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4" min="1" max="1"/>
    <col width="14" customWidth="1" style="14" min="2" max="2"/>
    <col width="40" customWidth="1" style="14" min="3" max="3"/>
    <col width="14" customWidth="1" style="14" min="4" max="7"/>
    <col width="30" customWidth="1" style="14" min="8" max="8"/>
  </cols>
  <sheetData>
    <row r="1" ht="24" customHeight="1" s="15">
      <c r="A1" s="16" t="inlineStr">
        <is>
          <t>Engine and Launch Kit</t>
        </is>
      </c>
      <c r="B1" s="17" t="n"/>
      <c r="C1" s="17" t="n"/>
      <c r="D1" s="17" t="n"/>
      <c r="E1" s="17" t="n"/>
      <c r="F1" s="17" t="n"/>
      <c r="G1" s="17" t="n"/>
      <c r="H1" s="18" t="n"/>
    </row>
    <row r="2" ht="31.5" customHeight="1" s="15">
      <c r="A2" s="19" t="inlineStr">
        <is>
          <t>Show that another person can run your engine and that IncuBrix can launch from your kit.</t>
        </is>
      </c>
      <c r="B2" s="17" t="n"/>
      <c r="C2" s="17" t="n"/>
      <c r="D2" s="17" t="n"/>
      <c r="E2" s="17" t="n"/>
      <c r="F2" s="17" t="n"/>
      <c r="G2" s="17" t="n"/>
      <c r="H2" s="18" t="n"/>
    </row>
    <row r="4" ht="15" customHeight="1" s="15">
      <c r="A4" s="20" t="inlineStr">
        <is>
          <t>A. Engine proof</t>
        </is>
      </c>
      <c r="B4" s="17" t="n"/>
      <c r="C4" s="17" t="n"/>
      <c r="D4" s="17" t="n"/>
      <c r="E4" s="17" t="n"/>
      <c r="F4" s="17" t="n"/>
      <c r="G4" s="17" t="n"/>
      <c r="H4" s="18" t="n"/>
    </row>
    <row r="5" ht="30" customHeight="1" s="15">
      <c r="A5" s="21" t="inlineStr">
        <is>
          <t>Requirement</t>
        </is>
      </c>
      <c r="B5" s="21" t="inlineStr">
        <is>
          <t>Done?</t>
        </is>
      </c>
      <c r="C5" s="21" t="inlineStr">
        <is>
          <t>Evidence path / URL</t>
        </is>
      </c>
      <c r="D5" s="21" t="n"/>
      <c r="E5" s="21" t="n"/>
      <c r="F5" s="21" t="n"/>
      <c r="G5" s="21" t="n"/>
      <c r="H5" s="21" t="inlineStr">
        <is>
          <t>Notes</t>
        </is>
      </c>
    </row>
    <row r="6" ht="33" customHeight="1" s="15">
      <c r="A6" s="24" t="inlineStr">
        <is>
          <t>One clear run command in the README</t>
        </is>
      </c>
      <c r="B6" s="25" t="inlineStr">
        <is>
          <t>Yes</t>
        </is>
      </c>
      <c r="C6" s="25" t="inlineStr">
        <is>
          <t>3_Content_Engine/README.md (Exact execution commands)</t>
        </is>
      </c>
      <c r="H6" s="25" t="inlineStr">
        <is>
          <t>One command: python run.py inputs/ --out output/</t>
        </is>
      </c>
    </row>
    <row r="7" ht="73.5" customHeight="1" s="15">
      <c r="A7" s="24" t="inlineStr">
        <is>
          <t>Works on a fresh machine or account</t>
        </is>
      </c>
      <c r="B7" s="25" t="inlineStr">
        <is>
          <t>Partial — local Linux verified; Windows candidate-reported</t>
        </is>
      </c>
      <c r="C7" s="25" t="inlineStr">
        <is>
          <t>6_Evidence_and_Audit/WINDOWS_FRESH_RUN_20261030_CANDIDATE_REPORTED.md</t>
        </is>
      </c>
      <c r="H7" s="25" t="inlineStr">
        <is>
          <t>Candidate reports Python 3.14.7, 34 tests passed, two inputs, 40 assets, 4.42 min, 0 errors/rejects, 40 calendar and scheduler rows, all paths/timestamps/URLs valid, five platforms, deterministic_offline. Genuine .log file was not supplied here and must be attached.</t>
        </is>
      </c>
    </row>
    <row r="8" ht="46.5" customHeight="1" s="15">
      <c r="A8" s="24" t="inlineStr">
        <is>
          <t>Removes duplicates</t>
        </is>
      </c>
      <c r="B8" s="25" t="inlineStr">
        <is>
          <t>Yes</t>
        </is>
      </c>
      <c r="C8" s="25" t="inlineStr">
        <is>
          <t>6_Evidence_and_Audit/FINAL_NORMAL_REPEAT_REFRESH.txt; 3_Content_Engine/tests/test_engine.py</t>
        </is>
      </c>
      <c r="H8" s="25" t="inlineStr">
        <is>
          <t>Duplicate hooks are dropped across inputs; asset IDs are unique; repeat run adds nothing.</t>
        </is>
      </c>
    </row>
    <row r="9" ht="73.5" customHeight="1" s="15">
      <c r="A9" s="24" t="inlineStr">
        <is>
          <t>Quality checks before export</t>
        </is>
      </c>
      <c r="B9" s="25" t="inlineStr">
        <is>
          <t>Yes</t>
        </is>
      </c>
      <c r="C9" s="25" t="inlineStr">
        <is>
          <t>3_Content_Engine/source_code/engine/pipeline.py; 3_Content_Engine/tests/test_engine.py</t>
        </is>
      </c>
      <c r="H9" s="25" t="inlineStr">
        <is>
          <t>Gates: hook length, banned phrases, caption/hashtag limits (X link = 23 chars), UTM, video &lt;=60 s, unverified product claims -&gt; Draft. Rejects go to rejects.csv.</t>
        </is>
      </c>
    </row>
    <row r="10" ht="46.5" customHeight="1" s="15">
      <c r="A10" s="24" t="inlineStr">
        <is>
          <t>Clean export in the official format</t>
        </is>
      </c>
      <c r="B10" s="25" t="inlineStr">
        <is>
          <t>Yes</t>
        </is>
      </c>
      <c r="C10" s="25" t="inlineStr">
        <is>
          <t>2_Final_Content/calendar.csv; 2_Final_Content/scheduler_export_DRAFT_FOR_REVIEW.csv</t>
        </is>
      </c>
      <c r="H10" s="25" t="inlineStr">
        <is>
          <t>Calendar has 40 technically complete rows pending approval. The 40-row scheduler draft is preserved for review; official scheduler_export.csv intentionally has headers only until approval.</t>
        </is>
      </c>
    </row>
    <row r="11" ht="73.5" customHeight="1" s="15">
      <c r="A11" s="24" t="inlineStr">
        <is>
          <t>Refresh updates existing items without duplicates</t>
        </is>
      </c>
      <c r="B11" s="25" t="inlineStr">
        <is>
          <t>Yes</t>
        </is>
      </c>
      <c r="C11" s="25" t="inlineStr">
        <is>
          <t>6_Evidence_and_Audit/FINAL_NORMAL_REPEAT_REFRESH.txt</t>
        </is>
      </c>
      <c r="H11" s="25" t="inlineStr">
        <is>
          <t>Final repeat: 0 created and 20 unchanged. New-input refresh: 20 created, 20 unchanged, 40 total, 0 errors.</t>
        </is>
      </c>
    </row>
    <row r="12" ht="60" customHeight="1" s="15">
      <c r="A12" s="24" t="inlineStr">
        <is>
          <t>Logs errors and recovers from a simple failure</t>
        </is>
      </c>
      <c r="B12" s="25" t="inlineStr">
        <is>
          <t>Yes</t>
        </is>
      </c>
      <c r="C12" s="25" t="inlineStr">
        <is>
          <t>6_Evidence_and_Audit/FINAL_FAILURE_RECOVERY.txt</t>
        </is>
      </c>
      <c r="H12" s="25" t="inlineStr">
        <is>
          <t>Final simulated failure: 19 created, 1 error, exit 1. Sequential recovery: 1 created, 19 unchanged, 0 errors, exit 0.</t>
        </is>
      </c>
    </row>
    <row r="13" ht="33" customHeight="1" s="15">
      <c r="A13" s="24" t="inlineStr">
        <is>
          <t>Tests included</t>
        </is>
      </c>
      <c r="B13" s="25" t="inlineStr">
        <is>
          <t>Yes</t>
        </is>
      </c>
      <c r="C13" s="25" t="inlineStr">
        <is>
          <t>3_Content_Engine/tests/test_engine.py; 6_Evidence_and_Audit/FINAL_UNIT_TESTS.txt</t>
        </is>
      </c>
      <c r="H13" s="25" t="inlineStr">
        <is>
          <t>35 tests passed in the final relocated engine in 0.486 s; source suite also passed 35 in 0.492 s. Candidate separately reports 34 tests on Windows; source log pending.</t>
        </is>
      </c>
    </row>
    <row r="14" ht="60" customHeight="1" s="15">
      <c r="A14" s="24" t="inlineStr">
        <is>
          <t>No secrets in the repository</t>
        </is>
      </c>
      <c r="B14" s="25" t="inlineStr">
        <is>
          <t>Yes</t>
        </is>
      </c>
      <c r="C14" s="25" t="inlineStr">
        <is>
          <t>3_Content_Engine/tests/test_engine.py (RepoHygiene); 6_Evidence_and_Audit/FINAL_UNIT_TESTS.txt</t>
        </is>
      </c>
      <c r="H14" s="25" t="inlineStr">
        <is>
          <t>Scoped scanner covers first-party source/config and excludes venv/.venv, site-packages, caches, generated media, output and evidence. Positive and dependency-exclusion fixtures pass.</t>
        </is>
      </c>
    </row>
    <row r="16" ht="15" customHeight="1" s="15">
      <c r="A16" s="20" t="inlineStr">
        <is>
          <t>B. Run summary</t>
        </is>
      </c>
      <c r="B16" s="17" t="n"/>
      <c r="C16" s="17" t="n"/>
      <c r="D16" s="17" t="n"/>
      <c r="E16" s="17" t="n"/>
      <c r="F16" s="17" t="n"/>
      <c r="G16" s="17" t="n"/>
      <c r="H16" s="18" t="n"/>
    </row>
    <row r="17" ht="30" customHeight="1" s="15">
      <c r="A17" s="21" t="inlineStr">
        <is>
          <t>Run</t>
        </is>
      </c>
      <c r="B17" s="21" t="inlineStr">
        <is>
          <t>Input size</t>
        </is>
      </c>
      <c r="C17" s="21" t="inlineStr">
        <is>
          <t>Items produced</t>
        </is>
      </c>
      <c r="D17" s="21" t="inlineStr">
        <is>
          <t>Items rejected</t>
        </is>
      </c>
      <c r="E17" s="21" t="inlineStr">
        <is>
          <t>Duplicates removed</t>
        </is>
      </c>
      <c r="F17" s="21" t="inlineStr">
        <is>
          <t>Runtime (min)</t>
        </is>
      </c>
      <c r="G17" s="21" t="inlineStr">
        <is>
          <t>Direct cost</t>
        </is>
      </c>
      <c r="H17" s="21" t="inlineStr">
        <is>
          <t>Evidence / log</t>
        </is>
      </c>
    </row>
    <row r="18" ht="42" customHeight="1" s="15">
      <c r="A18" s="22" t="inlineStr">
        <is>
          <t>Normal run</t>
        </is>
      </c>
      <c r="B18" s="25" t="inlineStr">
        <is>
          <t>716 words (1 file)</t>
        </is>
      </c>
      <c r="C18" s="25" t="n">
        <v>20</v>
      </c>
      <c r="D18" s="25" t="n">
        <v>0</v>
      </c>
      <c r="E18" s="25" t="n">
        <v>0</v>
      </c>
      <c r="F18" s="25" t="n">
        <v>1.89</v>
      </c>
      <c r="G18" s="25" t="inlineStr">
        <is>
          <t>USD 0</t>
        </is>
      </c>
      <c r="H18" s="25" t="inlineStr">
        <is>
          <t>6_Evidence_and_Audit/FINAL_NORMAL_REPEAT_REFRESH.txt</t>
        </is>
      </c>
    </row>
    <row r="19" ht="42" customHeight="1" s="15">
      <c r="A19" s="22" t="inlineStr">
        <is>
          <t>Repeat run (same input)</t>
        </is>
      </c>
      <c r="B19" s="25" t="inlineStr">
        <is>
          <t>716 words (same file)</t>
        </is>
      </c>
      <c r="C19" s="25" t="inlineStr">
        <is>
          <t>0 new (20 unchanged)</t>
        </is>
      </c>
      <c r="D19" s="25" t="n">
        <v>0</v>
      </c>
      <c r="E19" s="25" t="n">
        <v>0</v>
      </c>
      <c r="F19" s="25" t="n">
        <v>0</v>
      </c>
      <c r="G19" s="25" t="inlineStr">
        <is>
          <t>USD 0</t>
        </is>
      </c>
      <c r="H19" s="25" t="inlineStr">
        <is>
          <t>6_Evidence_and_Audit/FINAL_NORMAL_REPEAT_REFRESH.txt</t>
        </is>
      </c>
    </row>
    <row r="20" ht="42" customHeight="1" s="15">
      <c r="A20" s="22" t="inlineStr">
        <is>
          <t>Refresh (new input)</t>
        </is>
      </c>
      <c r="B20" s="25" t="inlineStr">
        <is>
          <t>1,262 words (2 files; 1 new)</t>
        </is>
      </c>
      <c r="C20" s="25" t="inlineStr">
        <is>
          <t>20 new (40 total)</t>
        </is>
      </c>
      <c r="D20" s="25" t="n">
        <v>0</v>
      </c>
      <c r="E20" s="25" t="n">
        <v>0</v>
      </c>
      <c r="F20" s="25" t="n">
        <v>1.7</v>
      </c>
      <c r="G20" s="25" t="inlineStr">
        <is>
          <t>USD 0</t>
        </is>
      </c>
      <c r="H20" s="25" t="inlineStr">
        <is>
          <t>6_Evidence_and_Audit/FINAL_NORMAL_REPEAT_REFRESH.txt</t>
        </is>
      </c>
    </row>
    <row r="21" ht="42" customHeight="1" s="15">
      <c r="A21" s="22" t="inlineStr">
        <is>
          <t>Failure and recovery</t>
        </is>
      </c>
      <c r="B21" s="25" t="inlineStr">
        <is>
          <t>716 words + 1 unusable file</t>
        </is>
      </c>
      <c r="C21" s="25" t="inlineStr">
        <is>
          <t>19 (1 render failed), then 1 on re-run</t>
        </is>
      </c>
      <c r="D21" s="25" t="inlineStr">
        <is>
          <t>1 bad input file rejected</t>
        </is>
      </c>
      <c r="E21" s="25" t="n">
        <v>0</v>
      </c>
      <c r="F21" s="25" t="inlineStr">
        <is>
          <t>1.58 + 0.17</t>
        </is>
      </c>
      <c r="G21" s="25" t="inlineStr">
        <is>
          <t>USD 0</t>
        </is>
      </c>
      <c r="H21" s="25" t="inlineStr">
        <is>
          <t>6_Evidence_and_Audit/FINAL_FAILURE_RECOVERY.txt</t>
        </is>
      </c>
    </row>
    <row r="23" ht="15" customHeight="1" s="15">
      <c r="A23" s="20" t="inlineStr">
        <is>
          <t>C. Launch kit summary</t>
        </is>
      </c>
      <c r="B23" s="17" t="n"/>
      <c r="C23" s="17" t="n"/>
      <c r="D23" s="17" t="n"/>
      <c r="E23" s="17" t="n"/>
      <c r="F23" s="17" t="n"/>
      <c r="G23" s="17" t="n"/>
      <c r="H23" s="18" t="n"/>
    </row>
    <row r="24" ht="48.5" customHeight="1" s="15">
      <c r="A24" s="22" t="inlineStr">
        <is>
          <t>Who exactly we target first</t>
        </is>
      </c>
      <c r="B24" s="25" t="inlineStr">
        <is>
          <t>Solo and small-team podcasters and YouTubers (1-5 people) who already publish a long episode weekly and have nobody cutting it into clips and posts; second ring: expert-led creators (coaches, founders) and their editors. Markets: US, CA, UK, IE, AU, NZ, SG. Source: homepage segments (obs. 4).</t>
        </is>
      </c>
      <c r="C24" s="17" t="n"/>
      <c r="D24" s="17" t="n"/>
      <c r="E24" s="17" t="n"/>
      <c r="F24" s="17" t="n"/>
      <c r="G24" s="17" t="n"/>
      <c r="H24" s="18" t="n"/>
    </row>
    <row r="25" ht="48.5" customHeight="1" s="15">
      <c r="A25" s="22" t="inlineStr">
        <is>
          <t>Channels / platforms and why</t>
        </is>
      </c>
      <c r="B25" s="25" t="inlineStr">
        <is>
          <t>LinkedIn, Instagram, YouTube Shorts (primary: audience fit and IncuBrix itself publishes there); X and Threads (secondary experiments, not in IncuBrix's listed publishing set). TikTok, Facebook, Reddit: not now. Reasons in launch kit section 3.</t>
        </is>
      </c>
      <c r="C25" s="17" t="n"/>
      <c r="D25" s="17" t="n"/>
      <c r="E25" s="17" t="n"/>
      <c r="F25" s="17" t="n"/>
      <c r="G25" s="17" t="n"/>
      <c r="H25" s="18" t="n"/>
    </row>
    <row r="26" ht="62" customHeight="1" s="15">
      <c r="A26" s="22" t="inlineStr">
        <is>
          <t>Week 1 actions (owner, tool, volume)</t>
        </is>
      </c>
      <c r="B26" s="25" t="inlineStr">
        <is>
          <t>Mon: confirm product/account access, verify claims, and review the 40 technical drafts. Publish only assets receiving candidate rights, brand, editorial, and account approval. Log public URLs and real metrics after publication.</t>
        </is>
      </c>
      <c r="C26" s="17" t="n"/>
      <c r="D26" s="17" t="n"/>
      <c r="E26" s="17" t="n"/>
      <c r="F26" s="17" t="n"/>
      <c r="G26" s="17" t="n"/>
      <c r="H26" s="18" t="n"/>
    </row>
    <row r="27" ht="48.5" customHeight="1" s="15">
      <c r="A27" s="22" t="inlineStr">
        <is>
          <t>Weeks 2-4 actions</t>
        </is>
      </c>
      <c r="B27" s="25" t="inlineStr">
        <is>
          <t>Wk 2: new input, A/B two hook styles, add one human voice/screen video a week. Wk 3: keep top 2 pillars and platforms, cut the weakest to 2 posts/week, optional boost. Wk 4: run the 20-person preference test, report posts/reach/engagement/clicks/sign-ups per asset_id, decide continue/change/stop.</t>
        </is>
      </c>
      <c r="C27" s="17" t="n"/>
      <c r="D27" s="17" t="n"/>
      <c r="E27" s="17" t="n"/>
      <c r="F27" s="17" t="n"/>
      <c r="G27" s="17" t="n"/>
      <c r="H27" s="18" t="n"/>
    </row>
    <row r="28" ht="45" customHeight="1" s="15">
      <c r="A28" s="22" t="inlineStr">
        <is>
          <t>Tools and monthly cost</t>
        </is>
      </c>
      <c r="B28" s="25" t="inlineStr">
        <is>
          <t>USD 0 per month for engine, fonts and native scheduling. Optional paid boost: USD 0 by default, suggested cap USD 200 across weeks 3-4 (IncuBrix decision). Growth owner time ~5 h/week, approver ~1 h/week.</t>
        </is>
      </c>
      <c r="C28" s="17" t="n"/>
      <c r="D28" s="17" t="n"/>
      <c r="E28" s="17" t="n"/>
      <c r="F28" s="17" t="n"/>
      <c r="G28" s="17" t="n"/>
      <c r="H28" s="18" t="n"/>
    </row>
    <row r="29" ht="45" customHeight="1" s="15">
      <c r="A29" s="22" t="inlineStr">
        <is>
          <t>Targets after 30 days (numbers)</t>
        </is>
      </c>
      <c r="B29" s="25" t="inlineStr">
        <is>
          <t>PLANNING ASSUMPTIONS, not benchmarks: 80 posts, 40,000 reach, &gt;=3% median engagement, 200 link clicks (0.5%), &gt;=20 sign-ups (10% of clicks). Reset after the week-1 baseline.</t>
        </is>
      </c>
      <c r="C29" s="17" t="n"/>
      <c r="D29" s="17" t="n"/>
      <c r="E29" s="17" t="n"/>
      <c r="F29" s="17" t="n"/>
      <c r="G29" s="17" t="n"/>
      <c r="H29" s="18" t="n"/>
    </row>
    <row r="30" ht="48.5" customHeight="1" s="15">
      <c r="A30" s="22" t="inlineStr">
        <is>
          <t>Biggest risk and how to handle it</t>
        </is>
      </c>
      <c r="B30" s="25" t="inlineStr">
        <is>
          <t>Biggest risk: generic-looking, text-only videos from new accounts get little reach. Handling: one human voice/screen video per week from week 2, two hook styles tested per platform, kill/scale rule after 2 weeks. Second risk: unverified product claims; the engine holds such posts as Draft.</t>
        </is>
      </c>
      <c r="C30" s="17" t="n"/>
      <c r="D30" s="17" t="n"/>
      <c r="E30" s="17" t="n"/>
      <c r="F30" s="17" t="n"/>
      <c r="G30" s="17" t="n"/>
      <c r="H30" s="18" t="n"/>
    </row>
    <row r="31" ht="62" customHeight="1" s="15">
      <c r="A31" s="22" t="inlineStr">
        <is>
          <t>What IncuBrix must provide (accounts, access, budget)</t>
        </is>
      </c>
      <c r="B31" s="25" t="inlineStr">
        <is>
          <t>Admin/account access, signed-in product access, an approver, confirmation of UTM retention, budget decision, and explicit approval of the plain typographic IncuBrix treatment or authorized replacement artwork.</t>
        </is>
      </c>
      <c r="C31" s="17" t="n"/>
      <c r="D31" s="17" t="n"/>
      <c r="E31" s="17" t="n"/>
      <c r="F31" s="17" t="n"/>
      <c r="G31" s="17" t="n"/>
      <c r="H31" s="18" t="n"/>
    </row>
  </sheetData>
  <mergeCells count="13">
    <mergeCell ref="A1:H1"/>
    <mergeCell ref="A4:H4"/>
    <mergeCell ref="B28:H28"/>
    <mergeCell ref="B26:H26"/>
    <mergeCell ref="B27:H27"/>
    <mergeCell ref="A2:H2"/>
    <mergeCell ref="A16:H16"/>
    <mergeCell ref="B24:H24"/>
    <mergeCell ref="B30:H30"/>
    <mergeCell ref="B29:H29"/>
    <mergeCell ref="B25:H25"/>
    <mergeCell ref="A23:H23"/>
    <mergeCell ref="B31:H31"/>
  </mergeCells>
  <dataValidations count="1">
    <dataValidation sqref="B6:B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14" customWidth="1" style="14" min="2" max="2"/>
    <col width="16" customWidth="1" style="14" min="3" max="3"/>
    <col width="18" customWidth="1" style="14" min="4" max="4"/>
    <col width="40" customWidth="1" style="14" min="5" max="5"/>
    <col width="14" customWidth="1" style="14" min="6" max="6"/>
  </cols>
  <sheetData>
    <row r="1" ht="24" customHeight="1" s="15">
      <c r="A1" s="16" t="inlineStr">
        <is>
          <t>Self-check and Self-score</t>
        </is>
      </c>
      <c r="B1" s="17" t="n"/>
      <c r="C1" s="17" t="n"/>
      <c r="D1" s="17" t="n"/>
      <c r="E1" s="17" t="n"/>
      <c r="F1" s="18" t="n"/>
    </row>
    <row r="2" ht="31.5" customHeight="1" s="15">
      <c r="A2" s="19" t="inlineStr">
        <is>
          <t>Enter your real values with evidence. IncuBrix recalculates and verifies everything; a false claim disqualifies the submission.</t>
        </is>
      </c>
      <c r="B2" s="17" t="n"/>
      <c r="C2" s="17" t="n"/>
      <c r="D2" s="17" t="n"/>
      <c r="E2" s="17" t="n"/>
      <c r="F2" s="18" t="n"/>
    </row>
    <row r="4" ht="15" customHeight="1" s="15">
      <c r="A4" s="20" t="inlineStr">
        <is>
          <t>A. Minimum results (all must be MET)</t>
        </is>
      </c>
      <c r="B4" s="17" t="n"/>
      <c r="C4" s="17" t="n"/>
      <c r="D4" s="17" t="n"/>
      <c r="E4" s="17" t="n"/>
      <c r="F4" s="18" t="n"/>
    </row>
    <row r="5" ht="30" customHeight="1" s="15">
      <c r="A5" s="21" t="inlineStr">
        <is>
          <t>Minimum</t>
        </is>
      </c>
      <c r="B5" s="21" t="inlineStr">
        <is>
          <t>Required</t>
        </is>
      </c>
      <c r="C5" s="21" t="inlineStr">
        <is>
          <t>Your value</t>
        </is>
      </c>
      <c r="D5" s="21" t="inlineStr">
        <is>
          <t>Workbook calculation</t>
        </is>
      </c>
      <c r="E5" s="21" t="inlineStr">
        <is>
          <t>Evidence path / URL</t>
        </is>
      </c>
      <c r="F5" s="21" t="inlineStr">
        <is>
          <t>Status</t>
        </is>
      </c>
    </row>
    <row r="6" ht="46.5" customHeight="1" s="15">
      <c r="A6" s="24" t="inlineStr">
        <is>
          <t>Approved ready-to-publish assets</t>
        </is>
      </c>
      <c r="B6" s="26" t="inlineStr">
        <is>
          <t>&gt;= 30</t>
        </is>
      </c>
      <c r="C6" s="23">
        <v>0</v>
      </c>
      <c r="D6" s="30">
        <f>COUNTIF(02_ASSETS!T5:T154,"Ready")</f>
        <v/>
      </c>
      <c r="E6" s="25" t="inlineStr">
        <is>
          <t>2_Final_Content/calendar.csv: 40 technically complete assets, 0 marked Ready because candidate rights, brand, editorial, and publication approval is pending.</t>
        </is>
      </c>
      <c r="F6" s="27">
        <f>IF(C6="","",IF(C6&gt;=30,"MET","NOT MET"))</f>
        <v/>
      </c>
    </row>
    <row r="7" ht="46.5" customHeight="1" s="15">
      <c r="A7" s="24" t="inlineStr">
        <is>
          <t>Platforms covered</t>
        </is>
      </c>
      <c r="B7" s="26" t="inlineStr">
        <is>
          <t>&gt;= 3</t>
        </is>
      </c>
      <c r="C7" s="23" t="n">
        <v>5</v>
      </c>
      <c r="D7" s="30" t="inlineStr">
        <is>
          <t>-</t>
        </is>
      </c>
      <c r="E7" s="25" t="inlineStr">
        <is>
          <t>LinkedIn, Instagram, YouTube Shorts, X, and Threads in 2_Final_Content/calendar.csv. Platform coverage is independent of approval status.</t>
        </is>
      </c>
      <c r="F7" s="27">
        <f>IF(C7="","",IF(C7&gt;=3,"MET","NOT MET"))</f>
        <v/>
      </c>
    </row>
    <row r="8" ht="46.5" customHeight="1" s="15">
      <c r="A8" s="24" t="inlineStr">
        <is>
          <t>Approved short videos (60 s or less)</t>
        </is>
      </c>
      <c r="B8" s="26" t="inlineStr">
        <is>
          <t>&gt;= 10</t>
        </is>
      </c>
      <c r="C8" s="23">
        <v>0</v>
      </c>
      <c r="D8" s="30">
        <f>COUNTIFS(02_ASSETS!C5:C154,"Short video",02_ASSETS!T5:T154,"Ready")</f>
        <v/>
      </c>
      <c r="E8" s="25" t="inlineStr">
        <is>
          <t>16 technically valid MP4 videos exist; 0 are approved Ready. Durations are recorded in 6_Evidence_and_Audit/ASSET_QA_REPORT.csv.</t>
        </is>
      </c>
      <c r="F8" s="27">
        <f>IF(C8="","",IF(C8&gt;=10,"MET","NOT MET"))</f>
        <v/>
      </c>
    </row>
    <row r="9" ht="46.5" customHeight="1" s="15">
      <c r="A9" s="24" t="inlineStr">
        <is>
          <t>Approved carousels or graphics</t>
        </is>
      </c>
      <c r="B9" s="26" t="inlineStr">
        <is>
          <t>&gt;= 5</t>
        </is>
      </c>
      <c r="C9" s="23">
        <v>0</v>
      </c>
      <c r="D9" s="30">
        <f>COUNTIFS(02_ASSETS!C5:C154,"Carousel",02_ASSETS!T5:T154,"Ready")+COUNTIFS(02_ASSETS!C5:C154,"Graphic",02_ASSETS!T5:T154,"Ready")</f>
        <v/>
      </c>
      <c r="E9" s="25" t="inlineStr">
        <is>
          <t>8 carousels and 8 graphics exist; 0 are approved Ready. Final paths are under 2_Final_Content/assets/.</t>
        </is>
      </c>
      <c r="F9" s="27">
        <f>IF(C9="","",IF(C9&gt;=5,"MET","NOT MET"))</f>
        <v/>
      </c>
    </row>
    <row r="10" ht="87" customHeight="1" s="15">
      <c r="A10" s="24" t="inlineStr">
        <is>
          <t>Unresolved rights/brand approvals</t>
        </is>
      </c>
      <c r="B10" s="26" t="inlineStr">
        <is>
          <t>0</t>
        </is>
      </c>
      <c r="C10" s="23">
        <v>40</v>
      </c>
      <c r="D10" s="30">
        <f>COUNTIF(02_ASSETS!M5:M154,"Pending human approval")</f>
      </c>
      <c r="E10" s="25" t="inlineStr">
        <is>
          <t>40 assets passed technical file review but still require candidate rights, brand, editorial, and publication approval. Technical review is not legal or human approval.</t>
        </is>
      </c>
      <c r="F10" s="27">
        <f>IF(C10="","",IF(C10=0,"MET","NOT MET"))</f>
        <v/>
      </c>
    </row>
    <row r="11" ht="60" customHeight="1" s="15">
      <c r="A11" s="24" t="inlineStr">
        <is>
          <t>Engine makes 10+ assets from one input in under 30 minutes</t>
        </is>
      </c>
      <c r="B11" s="26" t="inlineStr">
        <is>
          <t>Yes</t>
        </is>
      </c>
      <c r="C11" s="23" t="inlineStr">
        <is>
          <t>Yes</t>
        </is>
      </c>
      <c r="D11" s="30" t="inlineStr">
        <is>
          <t>-</t>
        </is>
      </c>
      <c r="E11" s="25" t="inlineStr">
        <is>
          <t>Final local single input: 20 assets from 716 words in 0.78 min; refresh added 20 in 0.73 min. Candidate-reported Windows two-input run: 40 assets in 4.42 min, deterministic_offline; original Windows log pending attachment.</t>
        </is>
      </c>
      <c r="F11" s="27">
        <f>IF(C11="","",IF(C11="Yes","MET","NOT MET"))</f>
        <v/>
      </c>
    </row>
    <row r="12" ht="73.5" customHeight="1" s="15">
      <c r="A12" s="24" t="inlineStr">
        <is>
          <t>Real-audience test completed (10 posts over 5 days, or 20-person test)</t>
        </is>
      </c>
      <c r="B12" s="26" t="inlineStr">
        <is>
          <t>Yes</t>
        </is>
      </c>
      <c r="C12" s="23" t="inlineStr">
        <is>
          <t>No</t>
        </is>
      </c>
      <c r="D12" s="30" t="inlineStr">
        <is>
          <t>-</t>
        </is>
      </c>
      <c r="E12" s="25" t="inlineStr">
        <is>
          <t>NOT DONE. No posts were published and no 20-person test was run. Protocol, assignments, empty results template, and analysis are in 5_Audience_Test/.</t>
        </is>
      </c>
      <c r="F12" s="27">
        <f>IF(C12="","",IF(C12="Yes","MET","NOT MET"))</f>
        <v/>
      </c>
    </row>
    <row r="13" ht="27.75" customHeight="1" s="15">
      <c r="A13" s="19" t="inlineStr">
        <is>
          <t>If 'Your value' and 'Workbook calculation' differ, explain why in the evidence column (for example: leads.csv has more rows than the workbook).</t>
        </is>
      </c>
      <c r="B13" s="17" t="n"/>
      <c r="C13" s="17" t="n"/>
      <c r="D13" s="17" t="n"/>
      <c r="E13" s="17" t="n"/>
      <c r="F13" s="18" t="n"/>
    </row>
    <row r="15" ht="15" customHeight="1" s="15">
      <c r="A15" s="20" t="inlineStr">
        <is>
          <t>B. Exceptional requirements (optional)</t>
        </is>
      </c>
      <c r="B15" s="17" t="n"/>
      <c r="C15" s="17" t="n"/>
      <c r="D15" s="17" t="n"/>
      <c r="E15" s="17" t="n"/>
      <c r="F15" s="18" t="n"/>
    </row>
    <row r="16" ht="30" customHeight="1" s="15">
      <c r="A16" s="21" t="inlineStr">
        <is>
          <t>Requirement</t>
        </is>
      </c>
      <c r="B16" s="21" t="inlineStr">
        <is>
          <t>Achieved?</t>
        </is>
      </c>
      <c r="C16" s="21" t="inlineStr">
        <is>
          <t>Your value</t>
        </is>
      </c>
      <c r="D16" s="21" t="n"/>
      <c r="E16" s="21" t="inlineStr">
        <is>
          <t>Evidence path / URL</t>
        </is>
      </c>
      <c r="F16" s="21" t="n"/>
    </row>
    <row r="17" ht="48" customHeight="1" s="15">
      <c r="A17" s="24" t="inlineStr">
        <is>
          <t>60 ready assets, including at least 20 videos, with at least 90% passing our audit.</t>
        </is>
      </c>
      <c r="B17" s="23" t="inlineStr">
        <is>
          <t>No</t>
        </is>
      </c>
      <c r="C17" s="25" t="inlineStr">
        <is>
          <t>40 technically complete assets, 0 approved Ready; 16 videos; fixed-seed audit completed. Exceptional 60-asset/20-video threshold not met.</t>
        </is>
      </c>
      <c r="E17" s="25" t="inlineStr">
        <is>
          <t>Below 60 assets and 20 videos; human publication approval also pending.</t>
        </is>
      </c>
    </row>
    <row r="18" ht="48" customHeight="1" s="15">
      <c r="A18" s="24" t="inlineStr">
        <is>
          <t>The real-audience test beats a stated, sourced benchmark for engagement or preference.</t>
        </is>
      </c>
      <c r="B18" s="23" t="inlineStr">
        <is>
          <t>No</t>
        </is>
      </c>
      <c r="C18" s="25" t="inlineStr">
        <is>
          <t>No test run.</t>
        </is>
      </c>
      <c r="E18" s="25" t="inlineStr">
        <is>
          <t>Not achieved; no sourced benchmark compared.</t>
        </is>
      </c>
    </row>
    <row r="19" ht="48" customHeight="1" s="15">
      <c r="A19" s="24" t="inlineStr">
        <is>
          <t>The engine produces a full week (at least 20 assets) from one input in under 30 minutes, with cost documented.</t>
        </is>
      </c>
      <c r="B19" s="23" t="inlineStr">
        <is>
          <t>Yes</t>
        </is>
      </c>
      <c r="C19" s="25" t="inlineStr">
        <is>
          <t>20 assets from one input in 0.78 min, deterministic offline, USD 0 direct API cost.</t>
        </is>
      </c>
      <c r="E19" s="25" t="inlineStr">
        <is>
          <t>6_Evidence_and_Audit/FINAL_NORMAL_REPEAT_REFRESH.txt and TEST_SUMMARY.md.</t>
        </is>
      </c>
    </row>
    <row r="20" ht="48" customHeight="1" s="15">
      <c r="A20" s="24" t="inlineStr">
        <is>
          <t>A creator-collaboration or user-generated content format that is ready to run.</t>
        </is>
      </c>
      <c r="B20" s="23" t="inlineStr">
        <is>
          <t>No</t>
        </is>
      </c>
      <c r="C20" s="25" t="inlineStr">
        <is>
          <t>A 'Cut my episode' collaboration format is described in launch kit section 13 but has not been piloted.</t>
        </is>
      </c>
      <c r="E20" s="25" t="inlineStr">
        <is>
          <t>Not claimed as ready to run.</t>
        </is>
      </c>
    </row>
    <row r="22" ht="15" customHeight="1" s="15">
      <c r="A22" s="20" t="inlineStr">
        <is>
          <t>C. Your self-score (be honest: reviewers compare it with their own score)</t>
        </is>
      </c>
      <c r="B22" s="17" t="n"/>
      <c r="C22" s="17" t="n"/>
      <c r="D22" s="17" t="n"/>
      <c r="E22" s="17" t="n"/>
      <c r="F22" s="18" t="n"/>
    </row>
    <row r="23" ht="30" customHeight="1" s="15">
      <c r="A23" s="21" t="inlineStr">
        <is>
          <t>Area</t>
        </is>
      </c>
      <c r="B23" s="21" t="inlineStr">
        <is>
          <t>Maximum</t>
        </is>
      </c>
      <c r="C23" s="21" t="inlineStr">
        <is>
          <t>Your score</t>
        </is>
      </c>
      <c r="D23" s="21" t="n"/>
      <c r="E23" s="21" t="inlineStr">
        <is>
          <t>Why you deserve this score (with evidence)</t>
        </is>
      </c>
      <c r="F23" s="21" t="n"/>
    </row>
    <row r="24" ht="73.5" customHeight="1" s="15">
      <c r="A24" s="22" t="inlineStr">
        <is>
          <t>Product and market insight</t>
        </is>
      </c>
      <c r="B24" s="26" t="n">
        <v>10</v>
      </c>
      <c r="C24" s="23" t="inlineStr">
        <is>
          <t>6</t>
        </is>
      </c>
      <c r="E24" s="25" t="inlineStr">
        <is>
          <t>Five public-site observations, three opportunities, and a dated LinkedIn audit of IncuBrix plus five peers. Signed-in product use and submission-day multi-platform verification remain unavailable.</t>
        </is>
      </c>
      <c r="F24" s="18" t="n"/>
    </row>
    <row r="25" ht="87" customHeight="1" s="15">
      <c r="A25" s="22" t="inlineStr">
        <is>
          <t>Content and strategy quality</t>
        </is>
      </c>
      <c r="B25" s="26" t="n">
        <v>35</v>
      </c>
      <c r="C25" s="23">
        <v>15</v>
      </c>
      <c r="E25" s="25" t="inlineStr">
        <is>
          <t>40 technically validated assets and clear strategy; fixed-seed audit corrected from 16/20 to 20/20. Publication readiness and real-audience result remain incomplete.</t>
        </is>
      </c>
      <c r="F25" s="18" t="n"/>
    </row>
    <row r="26" ht="87" customHeight="1" s="15">
      <c r="A26" s="22" t="inlineStr">
        <is>
          <t>Automation and scale</t>
        </is>
      </c>
      <c r="B26" s="26" t="n">
        <v>20</v>
      </c>
      <c r="C26" s="23" t="inlineStr">
        <is>
          <t>17</t>
        </is>
      </c>
      <c r="E26" s="25" t="inlineStr">
        <is>
          <t>35 final local tests pass; deterministic/offline default, optional source-traced AI fallback, exact/near dedupe, overrides, claim/UTM gates, atomic state, recovery, scoped secret scanner, and Windows-style path test. Windows execution is candidate-reported pending source log.</t>
        </is>
      </c>
      <c r="F26" s="18" t="n"/>
    </row>
    <row r="27" ht="60" customHeight="1" s="15">
      <c r="A27" s="22" t="inlineStr">
        <is>
          <t>Launch readiness</t>
        </is>
      </c>
      <c r="B27" s="26" t="n">
        <v>10</v>
      </c>
      <c r="C27" s="23">
        <v>6</v>
      </c>
      <c r="E27" s="25" t="inlineStr">
        <is>
          <t>Launch kit, owners, tools, budget assumptions, targets, approval workflow, and risks exist. All 40 assets remain pending human approval and actual account/product access.</t>
        </is>
      </c>
      <c r="F27" s="18" t="n"/>
    </row>
    <row r="28" ht="48" customHeight="1" s="15">
      <c r="A28" s="22" t="inlineStr">
        <is>
          <t>Live review</t>
        </is>
      </c>
      <c r="B28" s="26" t="n">
        <v>25</v>
      </c>
      <c r="C28" s="23" t="n">
        <v>0</v>
      </c>
      <c r="E28" s="25" t="inlineStr">
        <is>
          <t>Not self-scored: depends on the candidate tracing assets to evidence and running the engine live.</t>
        </is>
      </c>
      <c r="F28" s="18" t="n"/>
    </row>
    <row r="29" ht="15" customHeight="1" s="15">
      <c r="A29" s="21" t="inlineStr">
        <is>
          <t>Self-score total (out of 100)</t>
        </is>
      </c>
      <c r="B29" s="31" t="n">
        <v>100</v>
      </c>
      <c r="C29" s="27">
        <f>SUM(C24:C28)</f>
        <v/>
      </c>
    </row>
  </sheetData>
  <mergeCells count="11">
    <mergeCell ref="A2:F2"/>
    <mergeCell ref="A13:F13"/>
    <mergeCell ref="E24:F24"/>
    <mergeCell ref="E25:F25"/>
    <mergeCell ref="A1:F1"/>
    <mergeCell ref="E27:F27"/>
    <mergeCell ref="E28:F28"/>
    <mergeCell ref="A22:F22"/>
    <mergeCell ref="A4:F4"/>
    <mergeCell ref="E26:F26"/>
    <mergeCell ref="A15:F15"/>
  </mergeCells>
  <conditionalFormatting sqref="F6:F12">
    <cfRule type="expression" rank="0" priority="2" equalAverage="0" aboveAverage="0" dxfId="0" text="" percent="0" bottom="0">
      <formula>F6="NOT MET"</formula>
    </cfRule>
    <cfRule type="expression" rank="0" priority="3" equalAverage="0" aboveAverage="0" dxfId="1" text="" percent="0" bottom="0">
      <formula>F6="MET"</formula>
    </cfRule>
  </conditionalFormatting>
  <dataValidations count="7">
    <dataValidation sqref="C11" showDropDown="0" showInputMessage="0" showErrorMessage="0" allowBlank="1" type="list" errorStyle="stop" operator="between">
      <formula1>"Yes,No"</formula1>
      <formula2>0</formula2>
    </dataValidation>
    <dataValidation sqref="C12" showDropDown="0" showInputMessage="0" showErrorMessage="0" allowBlank="1" type="list" errorStyle="stop" operator="between">
      <formula1>"Yes,No"</formula1>
      <formula2>0</formula2>
    </dataValidation>
    <dataValidation sqref="B17:B20" showDropDown="0" showInputMessage="0" showErrorMessage="0" allowBlank="1" type="list" errorStyle="stop" operator="between">
      <formula1>"Yes,No"</formula1>
      <formula2>0</formula2>
    </dataValidation>
    <dataValidation sqref="C24 C27" showDropDown="0" showInputMessage="0" showErrorMessage="0" allowBlank="1" type="whole" errorStyle="stop" operator="between">
      <formula1>0</formula1>
      <formula2>10</formula2>
    </dataValidation>
    <dataValidation sqref="C25" showDropDown="0" showInputMessage="0" showErrorMessage="0" allowBlank="1" type="whole" errorStyle="stop" operator="between">
      <formula1>0</formula1>
      <formula2>35</formula2>
    </dataValidation>
    <dataValidation sqref="C26" showDropDown="0" showInputMessage="0" showErrorMessage="0" allowBlank="1" type="whole" errorStyle="stop" operator="between">
      <formula1>0</formula1>
      <formula2>20</formula2>
    </dataValidation>
    <dataValidation sqref="C28" showDropDown="0" showInputMessage="0" showErrorMessage="0" allowBlank="1" type="whole" errorStyle="stop" operator="between">
      <formula1>0</formula1>
      <formula2>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dimension ref="A1:D20"/>
  <sheetViews>
    <sheetView workbookViewId="0">
      <pane ySplit="4" topLeftCell="A5" activePane="bottomLeft" state="frozen"/>
    </sheetView>
  </sheetViews>
  <cols>
    <col min="1" max="1" width="28" customWidth="1"/>
    <col min="2" max="2" width="24" customWidth="1"/>
    <col min="3" max="3" width="92" customWidth="1"/>
    <col min="4" max="4" width="52" customWidth="1"/>
  </cols>
  <sheetData>
    <row r="1" ht="28" customHeight="1">
      <c r="A1" s="16" t="inlineStr">
        <is>
          <t>AI and Manual Contribution Disclosure</t>
        </is>
      </c>
    </row>
    <row r="2" ht="28" customHeight="1">
      <c r="A2" s="19" t="inlineStr">
        <is>
          <t>Classify work honestly. Candidate must confirm pending human actions before accepting the declaration.</t>
        </is>
      </c>
    </row>
    <row r="4" ht="28" customHeight="1">
      <c r="A4" s="20" t="inlineStr">
        <is>
          <t>Activity</t>
        </is>
      </c>
      <c r="B4" s="20" t="inlineStr">
        <is>
          <t>Classification</t>
        </is>
      </c>
      <c r="C4" s="20" t="inlineStr">
        <is>
          <t>Disclosure</t>
        </is>
      </c>
      <c r="D4" s="20" t="inlineStr">
        <is>
          <t>Evidence / status</t>
        </is>
      </c>
    </row>
    <row r="5" ht="45" customHeight="1">
      <c r="A5" s="22" t="inlineStr">
        <is>
          <t>Project direction</t>
        </is>
      </c>
      <c r="B5" s="23" t="inlineStr">
        <is>
          <t>Human-directed</t>
        </is>
      </c>
      <c r="C5" s="23" t="inlineStr">
        <is>
          <t>Candidate selected Option 2 and supplied objectives, audiences, platforms, and integrity rules.</t>
        </is>
      </c>
      <c r="D5" s="23" t="inlineStr">
        <is>
          <t>Confirmed by candidate instruction</t>
        </is>
      </c>
    </row>
    <row r="6" ht="45" customHeight="1">
      <c r="A6" s="22" t="inlineStr">
        <is>
          <t>Code and debugging</t>
        </is>
      </c>
      <c r="B6" s="23" t="inlineStr">
        <is>
          <t>AI-assisted</t>
        </is>
      </c>
      <c r="C6" s="23" t="inlineStr">
        <is>
          <t>Claude-assisted development, debugging, technical improvements, and review.</t>
        </is>
      </c>
      <c r="D6" s="23" t="inlineStr">
        <is>
          <t>Source code, tests, changelog</t>
        </is>
      </c>
    </row>
    <row r="7" ht="45" customHeight="1">
      <c r="A7" s="22" t="inlineStr">
        <is>
          <t>Content and strategy</t>
        </is>
      </c>
      <c r="B7" s="23" t="inlineStr">
        <is>
          <t>AI-assisted</t>
        </is>
      </c>
      <c r="C7" s="23" t="inlineStr">
        <is>
          <t>AI-assisted brainstorming, drafting, captions, strategy suggestions, and documentation.</t>
        </is>
      </c>
      <c r="D7" s="23" t="inlineStr">
        <is>
          <t>Inputs, asset specs, launch kit</t>
        </is>
      </c>
    </row>
    <row r="8" ht="45" customHeight="1">
      <c r="A8" s="22" t="inlineStr">
        <is>
          <t>Test design and workbook QA</t>
        </is>
      </c>
      <c r="B8" s="23" t="inlineStr">
        <is>
          <t>AI-assisted</t>
        </is>
      </c>
      <c r="C8" s="23" t="inlineStr">
        <is>
          <t>AI-assisted test-case design, workbook preparation, and quality-check recommendations.</t>
        </is>
      </c>
      <c r="D8" s="23" t="inlineStr">
        <is>
          <t>35-test final suite and audit files</t>
        </is>
      </c>
    </row>
    <row r="9" ht="45" customHeight="1">
      <c r="A9" s="22" t="inlineStr">
        <is>
          <t>Windows setup and execution</t>
        </is>
      </c>
      <c r="B9" s="23" t="inlineStr">
        <is>
          <t>Candidate-reported manual</t>
        </is>
      </c>
      <c r="C9" s="23" t="inlineStr">
        <is>
          <t>Candidate reports Python 3.14.7, 34 tests, 40 assets from two inputs in 4.42 min, and output inspection.</t>
        </is>
      </c>
      <c r="D9" s="23" t="inlineStr">
        <is>
          <t>Original WINDOWS_FRESH_RUN_20261030.log not supplied; attach before submission</t>
        </is>
      </c>
    </row>
    <row r="10" ht="45" customHeight="1">
      <c r="A10" s="22" t="inlineStr">
        <is>
          <t>Final local QA</t>
        </is>
      </c>
      <c r="B10" s="23" t="inlineStr">
        <is>
          <t>Agent-executed</t>
        </is>
      </c>
      <c r="C10" s="23" t="inlineStr">
        <is>
          <t>35 tests, media/path/CSV/UTM/workbook checks, random audit, corrections, and rerender executed in supplied workspace.</t>
        </is>
      </c>
      <c r="D10" s="23" t="inlineStr">
        <is>
          <t>6_Evidence_and_Audit/TEST_SUMMARY.md</t>
        </is>
      </c>
    </row>
    <row r="11" ht="45" customHeight="1">
      <c r="A11" s="22" t="inlineStr">
        <is>
          <t>Offline generation mode</t>
        </is>
      </c>
      <c r="B11" s="23" t="inlineStr">
        <is>
          <t>Verified technical fact</t>
        </is>
      </c>
      <c r="C11" s="23" t="inlineStr">
        <is>
          <t>Fresh reported Windows run used deterministic_offline; no AI model transformation is claimed.</t>
        </is>
      </c>
      <c r="D11" s="23" t="inlineStr">
        <is>
          <t>Candidate-reported Windows summary; engine evidence</t>
        </is>
      </c>
    </row>
    <row r="12" ht="45" customHeight="1">
      <c r="A12" s="22" t="inlineStr">
        <is>
          <t>Product use</t>
        </is>
      </c>
      <c r="B12" s="23" t="inlineStr">
        <is>
          <t>Not yet performed</t>
        </is>
      </c>
      <c r="C12" s="23" t="inlineStr">
        <is>
          <t>No signed-in product use is claimed.</t>
        </is>
      </c>
      <c r="D12" s="23" t="inlineStr">
        <is>
          <t>Pending candidate walkthrough and screenshots</t>
        </is>
      </c>
    </row>
    <row r="13" ht="45" customHeight="1">
      <c r="A13" s="22" t="inlineStr">
        <is>
          <t>Audience research/publication</t>
        </is>
      </c>
      <c r="B13" s="23" t="inlineStr">
        <is>
          <t>Not yet performed</t>
        </is>
      </c>
      <c r="C13" s="23" t="inlineStr">
        <is>
          <t>No participant responses, publication URLs, engagement results, or signups are claimed.</t>
        </is>
      </c>
      <c r="D13" s="23" t="inlineStr">
        <is>
          <t>5_Audience_Test/results/ remains a template</t>
        </is>
      </c>
    </row>
    <row r="14" ht="45" customHeight="1">
      <c r="A14" s="22" t="inlineStr">
        <is>
          <t>Recordings</t>
        </is>
      </c>
      <c r="B14" s="23" t="inlineStr">
        <is>
          <t>Not yet performed</t>
        </is>
      </c>
      <c r="C14" s="23" t="inlineStr">
        <is>
          <t>Scripts exist; candidate must personally record both unedited videos.</t>
        </is>
      </c>
      <c r="D14" s="23" t="inlineStr">
        <is>
          <t>7_Demo_Guides/</t>
        </is>
      </c>
    </row>
    <row r="15" ht="45" customHeight="1">
      <c r="A15" s="22" t="inlineStr">
        <is>
          <t>Final editorial and rights approval</t>
        </is>
      </c>
      <c r="B15" s="23" t="inlineStr">
        <is>
          <t>Not yet performed</t>
        </is>
      </c>
      <c r="C15" s="23" t="inlineStr">
        <is>
          <t>Automated/document checks do not replace candidate approval or brand authorization.</t>
        </is>
      </c>
      <c r="D15" s="23" t="inlineStr">
        <is>
          <t>Pending candidate signoff</t>
        </is>
      </c>
    </row>
    <row r="16" ht="45" customHeight="1">
      <c r="A16" s="22" t="inlineStr">
        <is>
          <t>Costs</t>
        </is>
      </c>
      <c r="B16" s="23" t="inlineStr">
        <is>
          <t>Partially known</t>
        </is>
      </c>
      <c r="C16" s="23" t="inlineStr">
        <is>
          <t>Offline direct run cost USD 0. Candidate subscription/personal tool costs are unknown.</t>
        </is>
      </c>
      <c r="D16" s="23" t="inlineStr">
        <is>
          <t>Candidate must complete 00_START row 17</t>
        </is>
      </c>
    </row>
    <row r="18" ht="45" customHeight="1">
      <c r="A18" s="22" t="inlineStr">
        <is>
          <t>Disclosure rule</t>
        </is>
      </c>
      <c r="B18" s="23" t="inlineStr">
        <is>
          <t>Required</t>
        </is>
      </c>
      <c r="C18" s="23" t="inlineStr">
        <is>
          <t>Do not mark pending work complete without genuine evidence; do not describe the entire project as AI-generated.</t>
        </is>
      </c>
      <c r="D18" s="23" t="inlineStr">
        <is>
          <t>6_Evidence_and_Audit/AI_MANUAL_DISCLOSURE.md</t>
        </is>
      </c>
    </row>
    <row r="20" ht="45" customHeight="1">
      <c r="A20" s="22" t="inlineStr">
        <is>
          <t>Declaration</t>
        </is>
      </c>
      <c r="B20" s="23" t="inlineStr">
        <is>
          <t>Pending candidate</t>
        </is>
      </c>
      <c r="C20" s="23" t="inlineStr">
        <is>
          <t>Accept only after candidate details, costs, links, tests, rights review, audience evidence, and recordings are truthful and complete.</t>
        </is>
      </c>
      <c r="D20" s="23" t="inlineStr">
        <is>
          <t>00_START row 21</t>
        </is>
      </c>
    </row>
  </sheetData>
  <autoFilter ref="A4:D1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2026-10-13T09:38:48Z</dcterms:created>
  <dcterms:modified xmlns:dcterms="http://purl.org/dc/terms/" xmlns:xsi="http://www.w3.org/2001/XMLSchema-instance" xsi:type="dcterms:W3CDTF">2026-10-27T16:53:51Z</dcterms:modified>
  <cp:revision>0</cp:revision>
</cp:coreProperties>
</file>